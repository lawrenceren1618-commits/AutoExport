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4175"/>
  </bookViews>
  <sheets>
    <sheet name="Sheet1" sheetId="1" r:id="rId1"/>
  </sheets>
  <definedNames>
    <definedName name="_xlnm.Print_Area" localSheetId="0">Sheet1!$A$6:$G$8</definedName>
    <definedName name="_xlnm._FilterDatabase" localSheetId="0" hidden="1">Sheet1!$A$22:$J$48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<sst xmlns="http://schemas.openxmlformats.org/spreadsheetml/2006/main" count="162" uniqueCount="75">
  <si>
    <t xml:space="preserve"> Xuchang E-fashion Electronic Business Co., Ltd.</t>
  </si>
  <si>
    <t>Add: 7th Floor Building Two, E-commerce Industrial Park Furong Road, Rural Intergration Demonstration Area of Xuchang, henan, China</t>
  </si>
  <si>
    <t>TEL:      FAX:    E-MAIL:</t>
  </si>
  <si>
    <r>
      <t>订单编号：</t>
    </r>
    <r>
      <rPr>
        <sz val="14"/>
        <color indexed="8"/>
        <rFont val="Arial"/>
        <family val="2"/>
        <charset val="0"/>
      </rPr>
      <t>EF-C26079-C04-36460</t>
    </r>
  </si>
  <si>
    <t>下单日期：</t>
  </si>
  <si>
    <t>2026.07.10</t>
  </si>
  <si>
    <t>交货日期：2026.7.31</t>
  </si>
  <si>
    <t>订单编号</t>
  </si>
  <si>
    <t>产品品类</t>
  </si>
  <si>
    <t>重量</t>
  </si>
  <si>
    <t>尺寸规格</t>
  </si>
  <si>
    <t>颜色</t>
  </si>
  <si>
    <t>数量</t>
  </si>
  <si>
    <r>
      <rPr>
        <b/>
        <sz val="12"/>
        <color indexed="8"/>
        <rFont val="宋体"/>
        <charset val="134"/>
      </rPr>
      <t>备注</t>
    </r>
  </si>
  <si>
    <t>EF-C26079-C04</t>
  </si>
  <si>
    <t>单面磨毛纤维桌布</t>
  </si>
  <si>
    <t>90克/平方米</t>
  </si>
  <si>
    <t>60*102inch</t>
  </si>
  <si>
    <t>白</t>
  </si>
  <si>
    <t>蓝</t>
  </si>
  <si>
    <t>米白</t>
  </si>
  <si>
    <t>60X126inch</t>
  </si>
  <si>
    <t>70X120inch</t>
  </si>
  <si>
    <t>黑</t>
  </si>
  <si>
    <t>90 inch round</t>
  </si>
  <si>
    <t>合   计</t>
  </si>
  <si>
    <t>制单：任胜国</t>
  </si>
  <si>
    <t>审核：</t>
  </si>
  <si>
    <t>装 箱 单 明 细</t>
  </si>
  <si>
    <t>颜 色</t>
  </si>
  <si>
    <t>条数/包</t>
  </si>
  <si>
    <t>产品标签</t>
  </si>
  <si>
    <t>包数/箱</t>
  </si>
  <si>
    <t>总箱数</t>
  </si>
  <si>
    <t>总条数</t>
  </si>
  <si>
    <t>箱号</t>
  </si>
  <si>
    <t>内包装尺寸</t>
  </si>
  <si>
    <t>外箱尺寸（长*宽*高）</t>
  </si>
  <si>
    <t>60X102inch</t>
  </si>
  <si>
    <t>X004W20FM1</t>
  </si>
  <si>
    <t>热缩膜包装</t>
  </si>
  <si>
    <t>纸箱规格：57*40*33cm</t>
  </si>
  <si>
    <t>X0050TS4O1</t>
  </si>
  <si>
    <t>X003WN3V5J</t>
  </si>
  <si>
    <t>内盒25*19*28</t>
  </si>
  <si>
    <t>纸箱：40*27*58</t>
  </si>
  <si>
    <t>X0050TQ9HP</t>
  </si>
  <si>
    <t>X0052FXOH5</t>
  </si>
  <si>
    <t>X005398X17</t>
  </si>
  <si>
    <t>纸箱57*40*33</t>
  </si>
  <si>
    <t>X003WN01DT</t>
  </si>
  <si>
    <t>内盒
28*23*18</t>
  </si>
  <si>
    <t>纸箱规格：57*48*30cm</t>
  </si>
  <si>
    <t>X005398UJ7</t>
  </si>
  <si>
    <t>X005395XVF</t>
  </si>
  <si>
    <t>内盒40*20*24</t>
  </si>
  <si>
    <t>纸箱：41.5*25.5*62.5</t>
  </si>
  <si>
    <t>X0054KNSLF</t>
  </si>
  <si>
    <t>X004W0XSZT</t>
  </si>
  <si>
    <t>X004W0WH4H</t>
  </si>
  <si>
    <t>X0050TQ82L</t>
  </si>
  <si>
    <t>X0050TSCX9</t>
  </si>
  <si>
    <t>纸箱57*40*34</t>
  </si>
  <si>
    <t>X005395QNF</t>
  </si>
  <si>
    <t>纸箱规格：41.5*25.5*62.5</t>
  </si>
  <si>
    <t>X00539789F</t>
  </si>
  <si>
    <t>X005395YS7</t>
  </si>
  <si>
    <t>X004W0XBDN</t>
  </si>
  <si>
    <t>X004W0Y925</t>
  </si>
  <si>
    <t>X004S99E9D</t>
  </si>
  <si>
    <t>纸箱规格：40*27*58cm</t>
  </si>
  <si>
    <t>X004W0V8OH</t>
  </si>
  <si>
    <t>X005395FVN</t>
  </si>
  <si>
    <t>X0053992NP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</si>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</sst>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7" formatCode="&quot;￥&quot;#,##0.00;&quot;￥&quot;\-#,##0.00"/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;[Red]\-#,##0\ "/>
  </numFmts>
  <fonts count="40">
    <font>
      <sz val="11"/>
      <color indexed="8"/>
      <name val="宋体"/>
      <charset val="134"/>
    </font>
    <font>
      <sz val="11"/>
      <color indexed="8"/>
      <name val="Arial"/>
      <family val="2"/>
      <charset val="0"/>
    </font>
    <font>
      <b/>
      <sz val="12"/>
      <color indexed="8"/>
      <name val="Arial"/>
      <family val="2"/>
      <charset val="0"/>
    </font>
    <font>
      <sz val="16"/>
      <color indexed="8"/>
      <name val="Tahoma"/>
      <family val="2"/>
      <charset val="134"/>
    </font>
    <font>
      <sz val="10"/>
      <color indexed="8"/>
      <name val="Tahoma"/>
      <family val="2"/>
      <charset val="134"/>
    </font>
    <font>
      <sz val="9"/>
      <color indexed="8"/>
      <name val="Tahoma"/>
      <family val="2"/>
      <charset val="134"/>
    </font>
    <font>
      <sz val="14"/>
      <color rgb="FF000000"/>
      <name val="宋体"/>
      <charset val="134"/>
    </font>
    <font>
      <b/>
      <sz val="12"/>
      <color rgb="FF000000"/>
      <name val="宋体"/>
      <charset val="134"/>
    </font>
    <font>
      <b/>
      <sz val="12"/>
      <name val="宋体"/>
      <charset val="134"/>
    </font>
    <font>
      <b/>
      <sz val="12"/>
      <name val="Arial"/>
      <family val="2"/>
      <charset val="0"/>
    </font>
    <font>
      <b/>
      <sz val="12"/>
      <color rgb="FF000000"/>
      <name val="Arial"/>
      <family val="2"/>
      <charset val="0"/>
    </font>
    <font>
      <sz val="12"/>
      <name val="Arial"/>
      <family val="2"/>
      <charset val="0"/>
    </font>
    <font>
      <sz val="11"/>
      <color rgb="FF000000"/>
      <name val="宋体"/>
      <charset val="134"/>
    </font>
    <font>
      <sz val="9"/>
      <name val="돋움"/>
      <charset val="134"/>
    </font>
    <font>
      <sz val="8"/>
      <name val="돋움"/>
      <charset val="134"/>
    </font>
    <font>
      <sz val="8"/>
      <name val="Arial"/>
      <family val="2"/>
      <charset val="0"/>
    </font>
    <font>
      <b/>
      <sz val="12"/>
      <color rgb="FF000000"/>
      <name val="돋움"/>
      <charset val="134"/>
    </font>
    <font>
      <b/>
      <sz val="11"/>
      <color rgb="FF000000"/>
      <name val="宋体"/>
      <charset val="134"/>
    </font>
    <font>
      <b/>
      <sz val="11"/>
      <color indexed="8"/>
      <name val="Arial"/>
      <family val="2"/>
      <charset val="0"/>
    </font>
    <font>
      <b/>
      <sz val="11"/>
      <color indexed="8"/>
      <name val="宋体"/>
      <charset val="134"/>
    </font>
    <font>
      <u/>
      <sz val="11"/>
      <color indexed="12"/>
      <name val="宋体"/>
      <charset val="134"/>
    </font>
    <font>
      <u/>
      <sz val="11"/>
      <color indexed="20"/>
      <name val="宋体"/>
      <charset val="134"/>
    </font>
    <font>
      <sz val="11"/>
      <color indexed="10"/>
      <name val="宋体"/>
      <charset val="134"/>
    </font>
    <font>
      <b/>
      <sz val="18"/>
      <color indexed="62"/>
      <name val="宋体"/>
      <charset val="134"/>
    </font>
    <font>
      <i/>
      <sz val="11"/>
      <color indexed="23"/>
      <name val="宋体"/>
      <charset val="134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2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2"/>
      <name val="宋体"/>
      <charset val="134"/>
    </font>
    <font>
      <sz val="11"/>
      <name val="돋움"/>
      <charset val="134"/>
    </font>
    <font>
      <sz val="14"/>
      <color indexed="8"/>
      <name val="Arial"/>
      <family val="2"/>
      <charset val="0"/>
    </font>
    <font>
      <b/>
      <sz val="12"/>
      <color indexed="8"/>
      <name val="宋体"/>
      <charset val="134"/>
    </font>
  </fonts>
  <fills count="21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4">
    <xf numFmtId="0" fontId="0" fillId="0" borderId="0">
      <alignment vertical="center"/>
    </xf>
    <xf numFmtId="43" fontId="0" fillId="0" borderId="0" applyProtection="0">
      <alignment vertical="center"/>
    </xf>
    <xf numFmtId="44" fontId="0" fillId="0" borderId="0" applyProtection="0">
      <alignment vertical="center"/>
    </xf>
    <xf numFmtId="9" fontId="0" fillId="0" borderId="0" applyProtection="0">
      <alignment vertical="center"/>
    </xf>
    <xf numFmtId="41" fontId="0" fillId="0" borderId="0" applyProtection="0">
      <alignment vertical="center"/>
    </xf>
    <xf numFmtId="42" fontId="0" fillId="0" borderId="0" applyProtection="0">
      <alignment vertical="center"/>
    </xf>
    <xf numFmtId="0" fontId="20" fillId="0" borderId="0" applyProtection="0">
      <alignment vertical="center"/>
    </xf>
    <xf numFmtId="0" fontId="21" fillId="0" borderId="0" applyProtection="0">
      <alignment vertical="center"/>
    </xf>
    <xf numFmtId="0" fontId="0" fillId="6" borderId="10" applyProtection="0">
      <alignment vertical="center"/>
    </xf>
    <xf numFmtId="0" fontId="22" fillId="0" borderId="0" applyProtection="0">
      <alignment vertical="center"/>
    </xf>
    <xf numFmtId="0" fontId="23" fillId="0" borderId="0" applyProtection="0">
      <alignment vertical="center"/>
    </xf>
    <xf numFmtId="0" fontId="24" fillId="0" borderId="0" applyProtection="0">
      <alignment vertical="center"/>
    </xf>
    <xf numFmtId="0" fontId="25" fillId="0" borderId="11" applyProtection="0">
      <alignment vertical="center"/>
    </xf>
    <xf numFmtId="0" fontId="26" fillId="0" borderId="11" applyProtection="0">
      <alignment vertical="center"/>
    </xf>
    <xf numFmtId="0" fontId="27" fillId="0" borderId="12" applyProtection="0">
      <alignment vertical="center"/>
    </xf>
    <xf numFmtId="0" fontId="27" fillId="0" borderId="0" applyProtection="0">
      <alignment vertical="center"/>
    </xf>
    <xf numFmtId="0" fontId="28" fillId="7" borderId="13" applyProtection="0">
      <alignment vertical="center"/>
    </xf>
    <xf numFmtId="0" fontId="29" fillId="8" borderId="14" applyProtection="0">
      <alignment vertical="center"/>
    </xf>
    <xf numFmtId="0" fontId="30" fillId="8" borderId="13" applyProtection="0">
      <alignment vertical="center"/>
    </xf>
    <xf numFmtId="0" fontId="31" fillId="3" borderId="15" applyProtection="0">
      <alignment vertical="center"/>
    </xf>
    <xf numFmtId="0" fontId="32" fillId="0" borderId="16" applyProtection="0">
      <alignment vertical="center"/>
    </xf>
    <xf numFmtId="0" fontId="19" fillId="0" borderId="17" applyProtection="0">
      <alignment vertical="center"/>
    </xf>
    <xf numFmtId="0" fontId="33" fillId="9" borderId="0" applyProtection="0">
      <alignment vertical="center"/>
    </xf>
    <xf numFmtId="0" fontId="34" fillId="10" borderId="0" applyProtection="0">
      <alignment vertical="center"/>
    </xf>
    <xf numFmtId="0" fontId="34" fillId="11" borderId="0" applyProtection="0">
      <alignment vertical="center"/>
    </xf>
    <xf numFmtId="0" fontId="35" fillId="12" borderId="0" applyProtection="0">
      <alignment vertical="center"/>
    </xf>
    <xf numFmtId="0" fontId="0" fillId="13" borderId="0" applyProtection="0">
      <alignment vertical="center"/>
    </xf>
    <xf numFmtId="0" fontId="0" fillId="14" borderId="0" applyProtection="0">
      <alignment vertical="center"/>
    </xf>
    <xf numFmtId="0" fontId="35" fillId="14" borderId="0" applyProtection="0">
      <alignment vertical="center"/>
    </xf>
    <xf numFmtId="0" fontId="35" fillId="15" borderId="0" applyProtection="0">
      <alignment vertical="center"/>
    </xf>
    <xf numFmtId="0" fontId="0" fillId="10" borderId="0" applyProtection="0">
      <alignment vertical="center"/>
    </xf>
    <xf numFmtId="0" fontId="0" fillId="10" borderId="0" applyProtection="0">
      <alignment vertical="center"/>
    </xf>
    <xf numFmtId="0" fontId="35" fillId="10" borderId="0" applyProtection="0">
      <alignment vertical="center"/>
    </xf>
    <xf numFmtId="0" fontId="35" fillId="16" borderId="0" applyProtection="0">
      <alignment vertical="center"/>
    </xf>
    <xf numFmtId="0" fontId="0" fillId="9" borderId="0" applyProtection="0">
      <alignment vertical="center"/>
    </xf>
    <xf numFmtId="0" fontId="0" fillId="9" borderId="0" applyProtection="0">
      <alignment vertical="center"/>
    </xf>
    <xf numFmtId="0" fontId="35" fillId="9" borderId="0" applyProtection="0">
      <alignment vertical="center"/>
    </xf>
    <xf numFmtId="0" fontId="35" fillId="17" borderId="0" applyProtection="0">
      <alignment vertical="center"/>
    </xf>
    <xf numFmtId="0" fontId="0" fillId="18" borderId="0" applyProtection="0">
      <alignment vertical="center"/>
    </xf>
    <xf numFmtId="0" fontId="0" fillId="18" borderId="0" applyProtection="0">
      <alignment vertical="center"/>
    </xf>
    <xf numFmtId="0" fontId="35" fillId="18" borderId="0" applyProtection="0">
      <alignment vertical="center"/>
    </xf>
    <xf numFmtId="0" fontId="35" fillId="12" borderId="0" applyProtection="0">
      <alignment vertical="center"/>
    </xf>
    <xf numFmtId="0" fontId="0" fillId="19" borderId="0" applyProtection="0">
      <alignment vertical="center"/>
    </xf>
    <xf numFmtId="0" fontId="0" fillId="14" borderId="0" applyProtection="0">
      <alignment vertical="center"/>
    </xf>
    <xf numFmtId="0" fontId="35" fillId="14" borderId="0" applyProtection="0">
      <alignment vertical="center"/>
    </xf>
    <xf numFmtId="0" fontId="35" fillId="20" borderId="0" applyProtection="0">
      <alignment vertical="center"/>
    </xf>
    <xf numFmtId="0" fontId="0" fillId="7" borderId="0" applyProtection="0">
      <alignment vertical="center"/>
    </xf>
    <xf numFmtId="0" fontId="0" fillId="7" borderId="0" applyProtection="0">
      <alignment vertical="center"/>
    </xf>
    <xf numFmtId="0" fontId="35" fillId="7" borderId="0" applyProtection="0">
      <alignment vertical="center"/>
    </xf>
    <xf numFmtId="0" fontId="36" fillId="0" borderId="0" applyProtection="0">
      <alignment vertical="center"/>
    </xf>
    <xf numFmtId="0" fontId="36" fillId="0" borderId="0" applyProtection="0"/>
    <xf numFmtId="0" fontId="36" fillId="0" borderId="0" applyProtection="0"/>
    <xf numFmtId="0" fontId="36" fillId="0" borderId="0" applyProtection="0"/>
    <xf numFmtId="0" fontId="37" fillId="0" borderId="0">
      <alignment vertical="center"/>
    </xf>
  </cellStyleXfs>
  <cellXfs count="65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/>
    </xf>
    <xf numFmtId="0" fontId="3" fillId="0" borderId="0" xfId="0" applyNumberFormat="1" applyFont="1" applyFill="1" applyBorder="1" applyAlignment="1"/>
    <xf numFmtId="0" fontId="0" fillId="0" borderId="0" xfId="0" applyFill="1">
      <alignment vertical="center"/>
    </xf>
    <xf numFmtId="0" fontId="4" fillId="0" borderId="0" xfId="0" applyNumberFormat="1" applyFont="1" applyFill="1" applyAlignment="1">
      <alignment horizontal="center" vertical="center" wrapText="1"/>
    </xf>
    <xf numFmtId="0" fontId="4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0" fillId="2" borderId="0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vertical="center"/>
    </xf>
    <xf numFmtId="0" fontId="6" fillId="0" borderId="1" xfId="0" applyNumberFormat="1" applyFont="1" applyFill="1" applyBorder="1" applyAlignment="1">
      <alignment vertical="center"/>
    </xf>
    <xf numFmtId="0" fontId="6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left" vertical="center"/>
    </xf>
    <xf numFmtId="0" fontId="6" fillId="0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3" borderId="2" xfId="0" applyNumberFormat="1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/>
    </xf>
    <xf numFmtId="176" fontId="8" fillId="0" borderId="0" xfId="0" applyNumberFormat="1" applyFont="1" applyFill="1" applyBorder="1" applyAlignment="1">
      <alignment horizontal="center" vertical="center"/>
    </xf>
    <xf numFmtId="176" fontId="9" fillId="0" borderId="0" xfId="0" applyNumberFormat="1" applyFont="1" applyFill="1" applyBorder="1" applyAlignment="1">
      <alignment horizontal="center" vertical="center"/>
    </xf>
    <xf numFmtId="176" fontId="9" fillId="0" borderId="0" xfId="0" applyNumberFormat="1" applyFont="1" applyFill="1" applyBorder="1" applyAlignment="1">
      <alignment vertical="center"/>
    </xf>
    <xf numFmtId="176" fontId="9" fillId="0" borderId="0" xfId="53" applyNumberFormat="1" applyFont="1" applyFill="1" applyBorder="1" applyAlignment="1">
      <alignment horizontal="right" vertical="center"/>
    </xf>
    <xf numFmtId="176" fontId="10" fillId="0" borderId="0" xfId="0" applyNumberFormat="1" applyFont="1" applyFill="1" applyBorder="1" applyAlignment="1">
      <alignment horizontal="center" vertical="center"/>
    </xf>
    <xf numFmtId="0" fontId="11" fillId="0" borderId="3" xfId="0" applyNumberFormat="1" applyFon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 wrapText="1"/>
    </xf>
    <xf numFmtId="0" fontId="0" fillId="0" borderId="3" xfId="0" applyNumberFormat="1" applyFill="1" applyBorder="1" applyAlignment="1">
      <alignment horizontal="center" vertical="center"/>
    </xf>
    <xf numFmtId="0" fontId="0" fillId="0" borderId="2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2" xfId="0" applyFont="1" applyBorder="1" applyAlignment="1">
      <alignment vertical="top" wrapText="1"/>
    </xf>
    <xf numFmtId="8" fontId="13" fillId="0" borderId="0" xfId="0" applyNumberFormat="1" applyFont="1" applyFill="1" applyBorder="1" applyAlignment="1">
      <alignment horizontal="center" vertical="center"/>
    </xf>
    <xf numFmtId="176" fontId="14" fillId="0" borderId="0" xfId="0" applyNumberFormat="1" applyFont="1" applyFill="1" applyAlignment="1">
      <alignment horizontal="center" vertical="center"/>
    </xf>
    <xf numFmtId="176" fontId="15" fillId="0" borderId="0" xfId="0" applyNumberFormat="1" applyFont="1" applyFill="1" applyAlignment="1">
      <alignment vertical="center"/>
    </xf>
    <xf numFmtId="176" fontId="15" fillId="0" borderId="0" xfId="0" applyNumberFormat="1" applyFont="1" applyFill="1" applyAlignment="1">
      <alignment horizontal="center" vertical="center"/>
    </xf>
    <xf numFmtId="176" fontId="15" fillId="0" borderId="0" xfId="53" applyNumberFormat="1" applyFont="1" applyFill="1" applyAlignment="1">
      <alignment horizontal="right" vertical="center"/>
    </xf>
    <xf numFmtId="176" fontId="16" fillId="0" borderId="0" xfId="0" applyNumberFormat="1" applyFont="1" applyFill="1" applyAlignment="1">
      <alignment horizontal="center" vertical="center"/>
    </xf>
    <xf numFmtId="0" fontId="11" fillId="0" borderId="4" xfId="0" applyNumberFormat="1" applyFont="1" applyFill="1" applyBorder="1" applyAlignment="1">
      <alignment horizontal="center" vertical="center"/>
    </xf>
    <xf numFmtId="0" fontId="0" fillId="0" borderId="4" xfId="0" applyNumberFormat="1" applyFill="1" applyBorder="1" applyAlignment="1">
      <alignment horizontal="center" vertical="center" wrapText="1"/>
    </xf>
    <xf numFmtId="0" fontId="0" fillId="0" borderId="4" xfId="0" applyNumberFormat="1" applyFill="1" applyBorder="1" applyAlignment="1">
      <alignment horizontal="center" vertical="center"/>
    </xf>
    <xf numFmtId="0" fontId="0" fillId="0" borderId="5" xfId="0" applyNumberForma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7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6" xfId="0" applyNumberFormat="1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0" fontId="19" fillId="5" borderId="7" xfId="0" applyFont="1" applyFill="1" applyBorder="1" applyAlignment="1">
      <alignment horizontal="center"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58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2 2 2 12 2" xfId="49"/>
    <cellStyle name="常规 2" xfId="50"/>
    <cellStyle name="常规 5" xfId="51"/>
    <cellStyle name="常规_Sheet1" xfId="52"/>
    <cellStyle name="표준 2" xfId="53"/>
  </cellStyles>
  <tableStyles count="0" defaultTableStyle="TableStyleMedium2" defaultPivotStyle="PivotStyleLight16"/>
  <colors>
    <mruColors>
      <color rgb="00AEAAAA"/>
      <color rgb="00969696"/>
      <color rgb="00D9D9D9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314960</xdr:colOff>
      <xdr:row>0</xdr:row>
      <xdr:rowOff>38100</xdr:rowOff>
    </xdr:from>
    <xdr:to>
      <xdr:col>1</xdr:col>
      <xdr:colOff>313690</xdr:colOff>
      <xdr:row>2</xdr:row>
      <xdr:rowOff>202565</xdr:rowOff>
    </xdr:to>
    <xdr:pic>
      <xdr:nvPicPr>
        <xdr:cNvPr id="25033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4960" y="38100"/>
          <a:ext cx="1541780" cy="11518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G55"/>
  <sheetViews>
    <sheetView tabSelected="1" zoomScale="85" zoomScaleNormal="85" workbookViewId="0">
      <selection activeCell="K12" sqref="K12"/>
    </sheetView>
  </sheetViews>
  <sheetFormatPr defaultColWidth="9" defaultRowHeight="13.5" customHeight="1"/>
  <cols>
    <col min="1" max="1" width="20.25" customWidth="1"/>
    <col min="2" max="3" width="17.5" customWidth="1"/>
    <col min="4" max="4" width="17.25" style="4" customWidth="1"/>
    <col min="5" max="5" width="12.75" style="4" customWidth="1"/>
    <col min="6" max="6" width="21.5" customWidth="1"/>
    <col min="7" max="7" width="12.5" customWidth="1"/>
    <col min="8" max="8" width="16.625" customWidth="1"/>
    <col min="9" max="9" width="20.5" customWidth="1"/>
    <col min="10" max="10" width="24.5" style="4" customWidth="1"/>
    <col min="11" max="18" width="5.625" customWidth="1"/>
  </cols>
  <sheetData>
    <row r="1" ht="36.75" customHeight="1" spans="1:33">
      <c r="A1" s="1"/>
      <c r="B1" s="1"/>
      <c r="C1" s="5"/>
      <c r="D1" s="6" t="s">
        <v>0</v>
      </c>
      <c r="E1" s="6"/>
      <c r="F1" s="6"/>
      <c r="G1" s="6"/>
      <c r="H1" s="6"/>
      <c r="I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ht="41" customHeight="1" spans="1:33">
      <c r="A2" s="1"/>
      <c r="B2" s="1"/>
      <c r="C2" s="5"/>
      <c r="D2" s="9" t="s">
        <v>1</v>
      </c>
      <c r="E2" s="9"/>
      <c r="F2" s="9"/>
      <c r="G2" s="9"/>
      <c r="H2" s="9"/>
      <c r="I2" s="10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ht="21.75" customHeight="1" spans="1:33">
      <c r="A3" s="1"/>
      <c r="B3" s="1"/>
      <c r="C3" s="1"/>
      <c r="D3" s="11"/>
      <c r="E3" s="11"/>
      <c r="F3" s="10"/>
      <c r="G3" s="10"/>
      <c r="H3" s="10"/>
      <c r="I3" s="10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spans="1:33">
      <c r="A4" s="1"/>
      <c r="B4" s="1"/>
      <c r="C4" s="1"/>
      <c r="D4" s="12" t="s">
        <v>2</v>
      </c>
      <c r="E4" s="12"/>
      <c r="F4" s="12"/>
      <c r="G4" s="12"/>
      <c r="H4" s="12"/>
      <c r="I4" s="12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s="1" customFormat="1" ht="15" customHeight="1" spans="1:33">
      <c r="A5" s="13"/>
      <c r="B5" s="13"/>
      <c r="C5" s="13"/>
      <c r="D5" s="13"/>
      <c r="E5" s="13"/>
      <c r="F5" s="13"/>
      <c r="G5" s="13"/>
      <c r="H5" s="13"/>
      <c r="I5" s="13"/>
    </row>
    <row r="6" s="2" customFormat="1" ht="51" customHeight="1" spans="1:33">
      <c r="A6" s="14" t="s">
        <v>3</v>
      </c>
      <c r="B6" s="15"/>
      <c r="C6" s="15"/>
      <c r="D6" s="16" t="s">
        <v>4</v>
      </c>
      <c r="E6" s="16" t="s">
        <v>5</v>
      </c>
      <c r="F6" s="17"/>
      <c r="G6" s="18" t="s">
        <v>6</v>
      </c>
      <c r="H6" s="18"/>
      <c r="J6" s="19"/>
    </row>
    <row r="7" s="1" customFormat="1" ht="38" customHeight="1"/>
    <row r="8" s="3" customFormat="1" ht="32" customHeight="1" spans="1:33">
      <c r="A8" s="20" t="s">
        <v>7</v>
      </c>
      <c r="B8" s="20" t="s">
        <v>8</v>
      </c>
      <c r="C8" s="20" t="s">
        <v>9</v>
      </c>
      <c r="D8" s="20" t="s">
        <v>10</v>
      </c>
      <c r="E8" s="20" t="s">
        <v>11</v>
      </c>
      <c r="F8" s="20" t="s">
        <v>12</v>
      </c>
      <c r="G8" s="21" t="s">
        <v>13</v>
      </c>
      <c r="H8" s="22"/>
      <c r="I8" s="22"/>
      <c r="J8" s="23"/>
      <c r="K8" s="23"/>
      <c r="L8" s="24"/>
      <c r="M8" s="24"/>
      <c r="N8" s="24"/>
      <c r="O8" s="23"/>
      <c r="P8" s="23"/>
      <c r="Q8" s="23"/>
      <c r="R8" s="24"/>
      <c r="S8" s="23"/>
      <c r="T8" s="23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25"/>
      <c r="AG8" s="26"/>
    </row>
    <row r="9" ht="41" customHeight="1" spans="1:33">
      <c r="A9" s="27" t="s">
        <v>14</v>
      </c>
      <c r="B9" s="28" t="s">
        <v>15</v>
      </c>
      <c r="C9" s="28" t="s">
        <v>16</v>
      </c>
      <c r="D9" s="29" t="s">
        <v>17</v>
      </c>
      <c r="E9" s="30" t="s">
        <v>18</v>
      </c>
      <c r="F9" s="31">
        <f>G27</f>
        <v>2000</v>
      </c>
      <c r="G9" s="32"/>
      <c r="H9" s="33"/>
      <c r="I9" s="33"/>
      <c r="J9" s="34"/>
      <c r="K9" s="34"/>
      <c r="L9" s="35"/>
      <c r="M9" s="35"/>
      <c r="N9" s="35"/>
      <c r="O9" s="36"/>
      <c r="P9" s="36"/>
      <c r="Q9" s="36"/>
      <c r="R9" s="35"/>
      <c r="S9" s="36"/>
      <c r="T9" s="36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37"/>
      <c r="AG9" s="38"/>
    </row>
    <row r="10" ht="41" customHeight="1" spans="1:33">
      <c r="A10" s="39"/>
      <c r="B10" s="40"/>
      <c r="C10" s="40"/>
      <c r="D10" s="41"/>
      <c r="E10" s="30" t="s">
        <v>19</v>
      </c>
      <c r="F10" s="31">
        <f>G26+G29</f>
        <v>2280</v>
      </c>
      <c r="G10" s="32"/>
      <c r="H10" s="33"/>
      <c r="I10" s="33"/>
      <c r="J10" s="34"/>
      <c r="K10" s="34"/>
      <c r="L10" s="35"/>
      <c r="M10" s="35"/>
      <c r="N10" s="35"/>
      <c r="O10" s="36"/>
      <c r="P10" s="36"/>
      <c r="Q10" s="36"/>
      <c r="R10" s="35"/>
      <c r="S10" s="36"/>
      <c r="T10" s="36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37"/>
      <c r="AG10" s="38"/>
    </row>
    <row r="11" ht="41" customHeight="1" spans="1:33">
      <c r="A11" s="39"/>
      <c r="B11" s="40"/>
      <c r="C11" s="40"/>
      <c r="D11" s="42"/>
      <c r="E11" s="30" t="s">
        <v>20</v>
      </c>
      <c r="F11" s="31">
        <f>G25+G28</f>
        <v>10480</v>
      </c>
      <c r="G11" s="32"/>
      <c r="H11" s="33"/>
      <c r="I11" s="33"/>
      <c r="J11" s="34"/>
      <c r="K11" s="34"/>
      <c r="L11" s="35"/>
      <c r="M11" s="35"/>
      <c r="N11" s="35"/>
      <c r="O11" s="36"/>
      <c r="P11" s="36"/>
      <c r="Q11" s="36"/>
      <c r="R11" s="35"/>
      <c r="S11" s="36"/>
      <c r="T11" s="36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37"/>
      <c r="AG11" s="38"/>
    </row>
    <row r="12" ht="41" customHeight="1" spans="1:33">
      <c r="A12" s="39"/>
      <c r="B12" s="40"/>
      <c r="C12" s="40"/>
      <c r="D12" s="29" t="s">
        <v>21</v>
      </c>
      <c r="E12" s="30" t="s">
        <v>18</v>
      </c>
      <c r="F12" s="31">
        <f>G31+G33+G30</f>
        <v>3660</v>
      </c>
      <c r="G12" s="32"/>
      <c r="H12" s="33"/>
      <c r="I12" s="33"/>
      <c r="J12" s="34"/>
      <c r="K12" s="34"/>
      <c r="L12" s="35"/>
      <c r="M12" s="35"/>
      <c r="N12" s="35"/>
      <c r="O12" s="36"/>
      <c r="P12" s="36"/>
      <c r="Q12" s="36"/>
      <c r="R12" s="35"/>
      <c r="S12" s="36"/>
      <c r="T12" s="36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37"/>
      <c r="AG12" s="38"/>
    </row>
    <row r="13" ht="41" customHeight="1" spans="1:33">
      <c r="A13" s="39"/>
      <c r="B13" s="40"/>
      <c r="C13" s="40"/>
      <c r="D13" s="42"/>
      <c r="E13" s="30" t="s">
        <v>20</v>
      </c>
      <c r="F13" s="31">
        <f>G32+G34</f>
        <v>2280</v>
      </c>
      <c r="G13" s="32"/>
      <c r="H13" s="33"/>
      <c r="I13" s="33"/>
      <c r="J13" s="34"/>
      <c r="K13" s="34"/>
      <c r="L13" s="35"/>
      <c r="M13" s="35"/>
      <c r="N13" s="35"/>
      <c r="O13" s="36"/>
      <c r="P13" s="36"/>
      <c r="Q13" s="36"/>
      <c r="R13" s="35"/>
      <c r="S13" s="36"/>
      <c r="T13" s="36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37"/>
      <c r="AG13" s="38"/>
    </row>
    <row r="14" ht="41" customHeight="1" spans="1:33">
      <c r="A14" s="39"/>
      <c r="B14" s="40"/>
      <c r="C14" s="40"/>
      <c r="D14" s="29" t="s">
        <v>22</v>
      </c>
      <c r="E14" s="30" t="s">
        <v>18</v>
      </c>
      <c r="F14" s="31">
        <f>G35+G39+G37</f>
        <v>3300</v>
      </c>
      <c r="G14" s="32"/>
      <c r="H14" s="33"/>
      <c r="I14" s="33"/>
      <c r="J14" s="34"/>
      <c r="K14" s="34"/>
      <c r="L14" s="35"/>
      <c r="M14" s="35"/>
      <c r="N14" s="35"/>
      <c r="O14" s="36"/>
      <c r="P14" s="36"/>
      <c r="Q14" s="36"/>
      <c r="R14" s="35"/>
      <c r="S14" s="36"/>
      <c r="T14" s="36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37"/>
      <c r="AG14" s="38"/>
    </row>
    <row r="15" ht="41" customHeight="1" spans="1:33">
      <c r="A15" s="39"/>
      <c r="B15" s="40"/>
      <c r="C15" s="40"/>
      <c r="D15" s="41"/>
      <c r="E15" s="30" t="s">
        <v>20</v>
      </c>
      <c r="F15" s="31">
        <f>G36+G40+G38</f>
        <v>3000</v>
      </c>
      <c r="G15" s="32"/>
      <c r="H15" s="33"/>
      <c r="I15" s="33"/>
      <c r="J15" s="34"/>
      <c r="K15" s="34"/>
      <c r="L15" s="35"/>
      <c r="M15" s="35"/>
      <c r="N15" s="35"/>
      <c r="O15" s="36"/>
      <c r="P15" s="36"/>
      <c r="Q15" s="36"/>
      <c r="R15" s="35"/>
      <c r="S15" s="36"/>
      <c r="T15" s="36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37"/>
      <c r="AG15" s="38"/>
    </row>
    <row r="16" ht="41" customHeight="1" spans="1:33">
      <c r="A16" s="39"/>
      <c r="B16" s="40"/>
      <c r="C16" s="40"/>
      <c r="D16" s="42"/>
      <c r="E16" s="30" t="s">
        <v>23</v>
      </c>
      <c r="F16" s="31">
        <f>G41</f>
        <v>600</v>
      </c>
      <c r="G16" s="32"/>
      <c r="H16" s="33"/>
      <c r="I16" s="33"/>
      <c r="J16" s="34"/>
      <c r="K16" s="34"/>
      <c r="L16" s="35"/>
      <c r="M16" s="35"/>
      <c r="N16" s="35"/>
      <c r="O16" s="36"/>
      <c r="P16" s="36"/>
      <c r="Q16" s="36"/>
      <c r="R16" s="35"/>
      <c r="S16" s="36"/>
      <c r="T16" s="36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37"/>
      <c r="AG16" s="38"/>
    </row>
    <row r="17" ht="41" customHeight="1" spans="1:33">
      <c r="A17" s="39"/>
      <c r="B17" s="40"/>
      <c r="C17" s="40"/>
      <c r="D17" s="29" t="s">
        <v>24</v>
      </c>
      <c r="E17" s="30" t="s">
        <v>18</v>
      </c>
      <c r="F17" s="31">
        <f>G42+G44+G46</f>
        <v>5760</v>
      </c>
      <c r="G17" s="32"/>
      <c r="H17" s="33"/>
      <c r="I17" s="33"/>
      <c r="J17" s="34"/>
      <c r="K17" s="34"/>
      <c r="L17" s="35"/>
      <c r="M17" s="35"/>
      <c r="N17" s="35"/>
      <c r="O17" s="36"/>
      <c r="P17" s="36"/>
      <c r="Q17" s="36"/>
      <c r="R17" s="35"/>
      <c r="S17" s="36"/>
      <c r="T17" s="36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37"/>
      <c r="AG17" s="38"/>
    </row>
    <row r="18" ht="41" customHeight="1" spans="1:33">
      <c r="A18" s="39"/>
      <c r="B18" s="40"/>
      <c r="C18" s="40"/>
      <c r="D18" s="41"/>
      <c r="E18" s="30" t="s">
        <v>20</v>
      </c>
      <c r="F18" s="31">
        <f>G45</f>
        <v>2100</v>
      </c>
      <c r="G18" s="32"/>
      <c r="H18" s="33"/>
      <c r="I18" s="33"/>
      <c r="J18" s="34"/>
      <c r="K18" s="34"/>
      <c r="L18" s="35"/>
      <c r="M18" s="35"/>
      <c r="N18" s="35"/>
      <c r="O18" s="36"/>
      <c r="P18" s="36"/>
      <c r="Q18" s="36"/>
      <c r="R18" s="35"/>
      <c r="S18" s="36"/>
      <c r="T18" s="36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37"/>
      <c r="AG18" s="38"/>
    </row>
    <row r="19" ht="41" customHeight="1" spans="1:33">
      <c r="A19" s="39"/>
      <c r="B19" s="40"/>
      <c r="C19" s="40"/>
      <c r="D19" s="42"/>
      <c r="E19" s="30" t="s">
        <v>23</v>
      </c>
      <c r="F19" s="31">
        <f>G43+G47</f>
        <v>1000</v>
      </c>
      <c r="G19" s="32"/>
      <c r="H19" s="33"/>
      <c r="I19" s="33"/>
      <c r="J19" s="34"/>
      <c r="K19" s="34"/>
      <c r="L19" s="35"/>
      <c r="M19" s="35"/>
      <c r="N19" s="35"/>
      <c r="O19" s="36"/>
      <c r="P19" s="36"/>
      <c r="Q19" s="36"/>
      <c r="R19" s="35"/>
      <c r="S19" s="36"/>
      <c r="T19" s="36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37"/>
      <c r="AG19" s="38"/>
    </row>
    <row r="20" ht="26.1" customHeight="1" spans="1:33">
      <c r="A20" s="43" t="s">
        <v>25</v>
      </c>
      <c r="B20" s="44"/>
      <c r="C20" s="44"/>
      <c r="D20" s="44"/>
      <c r="E20" s="44"/>
      <c r="F20" s="44">
        <f>SUM(F9:F19)</f>
        <v>36460</v>
      </c>
      <c r="G20" s="45"/>
      <c r="H20" s="46"/>
      <c r="I20" s="47"/>
    </row>
    <row r="21" ht="22" customHeight="1"/>
    <row r="22" ht="65" customHeight="1" spans="1:33">
      <c r="A22" t="s">
        <v>26</v>
      </c>
      <c r="F22" t="s">
        <v>27</v>
      </c>
    </row>
    <row r="23" ht="51" customHeight="1" spans="1:33">
      <c r="A23" s="48" t="s">
        <v>28</v>
      </c>
      <c r="B23" s="49"/>
      <c r="C23" s="49"/>
      <c r="D23" s="49"/>
      <c r="E23" s="49"/>
      <c r="F23" s="49"/>
      <c r="G23" s="49"/>
      <c r="H23" s="49"/>
      <c r="I23" s="49"/>
    </row>
    <row r="24" ht="34" customHeight="1" spans="1:33">
      <c r="A24" s="50" t="s">
        <v>10</v>
      </c>
      <c r="B24" s="51" t="s">
        <v>29</v>
      </c>
      <c r="C24" s="52" t="s">
        <v>30</v>
      </c>
      <c r="D24" s="52" t="s">
        <v>31</v>
      </c>
      <c r="E24" s="52" t="s">
        <v>32</v>
      </c>
      <c r="F24" s="52" t="s">
        <v>33</v>
      </c>
      <c r="G24" s="52" t="s">
        <v>34</v>
      </c>
      <c r="H24" s="52" t="s">
        <v>35</v>
      </c>
      <c r="I24" s="52" t="s">
        <v>36</v>
      </c>
      <c r="J24" s="53" t="s">
        <v>37</v>
      </c>
    </row>
    <row r="25" ht="34" customHeight="1" spans="1:33">
      <c r="A25" s="54" t="s">
        <v>38</v>
      </c>
      <c r="B25" s="55" t="s">
        <v>20</v>
      </c>
      <c r="C25" s="56">
        <v>6</v>
      </c>
      <c r="D25" s="57" t="s">
        <v>39</v>
      </c>
      <c r="E25" s="56">
        <v>9</v>
      </c>
      <c r="F25" s="56">
        <v>120</v>
      </c>
      <c r="G25" s="56">
        <f t="shared" ref="G25:G38" si="0">C25*E25*F25</f>
        <v>6480</v>
      </c>
      <c r="H25" s="58"/>
      <c r="I25" s="59" t="s">
        <v>40</v>
      </c>
      <c r="J25" s="60" t="s">
        <v>41</v>
      </c>
    </row>
    <row r="26" ht="34" customHeight="1" spans="1:33">
      <c r="A26" s="54" t="s">
        <v>38</v>
      </c>
      <c r="B26" s="31" t="s">
        <v>19</v>
      </c>
      <c r="C26" s="56">
        <v>6</v>
      </c>
      <c r="D26" s="31" t="s">
        <v>42</v>
      </c>
      <c r="E26" s="31">
        <v>9</v>
      </c>
      <c r="F26" s="31">
        <v>20</v>
      </c>
      <c r="G26" s="56">
        <f t="shared" si="0"/>
        <v>1080</v>
      </c>
      <c r="H26" s="58"/>
      <c r="I26" s="59" t="s">
        <v>40</v>
      </c>
      <c r="J26" s="60" t="s">
        <v>41</v>
      </c>
    </row>
    <row r="27" ht="34" customHeight="1" spans="1:33">
      <c r="A27" s="54" t="s">
        <v>38</v>
      </c>
      <c r="B27" s="31" t="s">
        <v>18</v>
      </c>
      <c r="C27" s="4">
        <v>10</v>
      </c>
      <c r="D27" s="31" t="s">
        <v>43</v>
      </c>
      <c r="E27" s="31">
        <v>4</v>
      </c>
      <c r="F27" s="31">
        <v>50</v>
      </c>
      <c r="G27" s="56">
        <f t="shared" si="0"/>
        <v>2000</v>
      </c>
      <c r="H27" s="58"/>
      <c r="I27" s="59" t="s">
        <v>44</v>
      </c>
      <c r="J27" s="60" t="s">
        <v>45</v>
      </c>
    </row>
    <row r="28" ht="34" customHeight="1" spans="1:33">
      <c r="A28" s="54" t="s">
        <v>38</v>
      </c>
      <c r="B28" s="31" t="s">
        <v>20</v>
      </c>
      <c r="C28" s="31">
        <v>10</v>
      </c>
      <c r="D28" s="31" t="s">
        <v>46</v>
      </c>
      <c r="E28" s="31">
        <v>4</v>
      </c>
      <c r="F28" s="31">
        <v>100</v>
      </c>
      <c r="G28" s="56">
        <f t="shared" si="0"/>
        <v>4000</v>
      </c>
      <c r="H28" s="58"/>
      <c r="I28" s="59" t="s">
        <v>44</v>
      </c>
      <c r="J28" s="60" t="s">
        <v>45</v>
      </c>
    </row>
    <row r="29" ht="34" customHeight="1" spans="1:33">
      <c r="A29" s="54" t="s">
        <v>38</v>
      </c>
      <c r="B29" s="55" t="s">
        <v>19</v>
      </c>
      <c r="C29" s="56">
        <v>10</v>
      </c>
      <c r="D29" s="57" t="s">
        <v>47</v>
      </c>
      <c r="E29" s="56">
        <v>4</v>
      </c>
      <c r="F29" s="56">
        <v>30</v>
      </c>
      <c r="G29" s="56">
        <f t="shared" si="0"/>
        <v>1200</v>
      </c>
      <c r="H29" s="58"/>
      <c r="I29" s="59" t="s">
        <v>44</v>
      </c>
      <c r="J29" s="60" t="s">
        <v>45</v>
      </c>
    </row>
    <row r="30" ht="34" customHeight="1" spans="1:33">
      <c r="A30" s="54" t="s">
        <v>21</v>
      </c>
      <c r="B30" s="55" t="s">
        <v>18</v>
      </c>
      <c r="C30" s="56">
        <v>2</v>
      </c>
      <c r="D30" s="57" t="s">
        <v>48</v>
      </c>
      <c r="E30" s="56">
        <v>18</v>
      </c>
      <c r="F30" s="56">
        <v>10</v>
      </c>
      <c r="G30" s="56">
        <f t="shared" si="0"/>
        <v>360</v>
      </c>
      <c r="H30" s="58"/>
      <c r="I30" s="59" t="s">
        <v>40</v>
      </c>
      <c r="J30" s="60" t="s">
        <v>49</v>
      </c>
    </row>
    <row r="31" ht="34" customHeight="1" spans="1:33">
      <c r="A31" s="54" t="s">
        <v>21</v>
      </c>
      <c r="B31" s="55" t="s">
        <v>18</v>
      </c>
      <c r="C31" s="56">
        <v>6</v>
      </c>
      <c r="D31" s="57" t="s">
        <v>50</v>
      </c>
      <c r="E31" s="56">
        <v>6</v>
      </c>
      <c r="F31" s="56">
        <v>50</v>
      </c>
      <c r="G31" s="56">
        <f t="shared" si="0"/>
        <v>1800</v>
      </c>
      <c r="H31" s="58"/>
      <c r="I31" s="61" t="s">
        <v>51</v>
      </c>
      <c r="J31" s="60" t="s">
        <v>52</v>
      </c>
    </row>
    <row r="32" ht="34" customHeight="1" spans="1:33">
      <c r="A32" s="54" t="s">
        <v>21</v>
      </c>
      <c r="B32" s="55" t="s">
        <v>20</v>
      </c>
      <c r="C32" s="56">
        <v>6</v>
      </c>
      <c r="D32" s="57" t="s">
        <v>53</v>
      </c>
      <c r="E32" s="56">
        <v>6</v>
      </c>
      <c r="F32" s="56">
        <v>30</v>
      </c>
      <c r="G32" s="56">
        <f t="shared" si="0"/>
        <v>1080</v>
      </c>
      <c r="H32" s="58"/>
      <c r="I32" s="61" t="s">
        <v>51</v>
      </c>
      <c r="J32" s="60" t="s">
        <v>52</v>
      </c>
    </row>
    <row r="33" ht="34" customHeight="1" spans="1:10">
      <c r="A33" s="54" t="s">
        <v>21</v>
      </c>
      <c r="B33" s="55" t="s">
        <v>18</v>
      </c>
      <c r="C33" s="56">
        <v>10</v>
      </c>
      <c r="D33" s="57" t="s">
        <v>54</v>
      </c>
      <c r="E33" s="56">
        <v>3</v>
      </c>
      <c r="F33" s="56">
        <v>50</v>
      </c>
      <c r="G33" s="56">
        <f t="shared" si="0"/>
        <v>1500</v>
      </c>
      <c r="H33" s="58"/>
      <c r="I33" s="31" t="s">
        <v>55</v>
      </c>
      <c r="J33" s="62" t="s">
        <v>56</v>
      </c>
    </row>
    <row r="34" ht="34" customHeight="1" spans="1:10">
      <c r="A34" s="54" t="s">
        <v>21</v>
      </c>
      <c r="B34" s="55" t="s">
        <v>20</v>
      </c>
      <c r="C34" s="56">
        <v>10</v>
      </c>
      <c r="D34" s="57" t="s">
        <v>57</v>
      </c>
      <c r="E34" s="56">
        <v>3</v>
      </c>
      <c r="F34" s="56">
        <v>40</v>
      </c>
      <c r="G34" s="56">
        <f t="shared" si="0"/>
        <v>1200</v>
      </c>
      <c r="H34" s="58"/>
      <c r="I34" s="31" t="s">
        <v>55</v>
      </c>
      <c r="J34" s="62" t="s">
        <v>56</v>
      </c>
    </row>
    <row r="35" ht="34" customHeight="1" spans="1:10">
      <c r="A35" s="54" t="s">
        <v>22</v>
      </c>
      <c r="B35" s="55" t="s">
        <v>18</v>
      </c>
      <c r="C35" s="56">
        <v>2</v>
      </c>
      <c r="D35" s="57" t="s">
        <v>58</v>
      </c>
      <c r="E35" s="56">
        <v>15</v>
      </c>
      <c r="F35" s="56">
        <v>10</v>
      </c>
      <c r="G35" s="56">
        <f t="shared" si="0"/>
        <v>300</v>
      </c>
      <c r="H35" s="58"/>
      <c r="I35" s="59" t="s">
        <v>40</v>
      </c>
      <c r="J35" s="60" t="s">
        <v>41</v>
      </c>
    </row>
    <row r="36" ht="34" customHeight="1" spans="1:10">
      <c r="A36" s="54" t="s">
        <v>22</v>
      </c>
      <c r="B36" s="55" t="s">
        <v>20</v>
      </c>
      <c r="C36" s="56">
        <v>2</v>
      </c>
      <c r="D36" s="57" t="s">
        <v>59</v>
      </c>
      <c r="E36" s="56">
        <v>15</v>
      </c>
      <c r="F36" s="56">
        <v>10</v>
      </c>
      <c r="G36" s="56">
        <f t="shared" si="0"/>
        <v>300</v>
      </c>
      <c r="H36" s="58"/>
      <c r="I36" s="59" t="s">
        <v>40</v>
      </c>
      <c r="J36" s="60" t="s">
        <v>41</v>
      </c>
    </row>
    <row r="37" ht="34" customHeight="1" spans="1:10">
      <c r="A37" s="54" t="s">
        <v>22</v>
      </c>
      <c r="B37" s="55" t="s">
        <v>18</v>
      </c>
      <c r="C37" s="56">
        <v>6</v>
      </c>
      <c r="D37" s="57" t="s">
        <v>60</v>
      </c>
      <c r="E37" s="56">
        <v>5</v>
      </c>
      <c r="F37" s="56">
        <v>50</v>
      </c>
      <c r="G37" s="56">
        <f t="shared" si="0"/>
        <v>1500</v>
      </c>
      <c r="H37" s="58"/>
      <c r="I37" s="59" t="s">
        <v>40</v>
      </c>
      <c r="J37" s="60" t="s">
        <v>49</v>
      </c>
    </row>
    <row r="38" ht="34" customHeight="1" spans="1:10">
      <c r="A38" s="54" t="s">
        <v>22</v>
      </c>
      <c r="B38" s="55" t="s">
        <v>20</v>
      </c>
      <c r="C38" s="56">
        <v>6</v>
      </c>
      <c r="D38" s="57" t="s">
        <v>61</v>
      </c>
      <c r="E38" s="56">
        <v>5</v>
      </c>
      <c r="F38" s="56">
        <v>40</v>
      </c>
      <c r="G38" s="56">
        <f t="shared" si="0"/>
        <v>1200</v>
      </c>
      <c r="H38" s="58"/>
      <c r="I38" s="59" t="s">
        <v>40</v>
      </c>
      <c r="J38" s="60" t="s">
        <v>62</v>
      </c>
    </row>
    <row r="39" ht="34" customHeight="1" spans="1:10">
      <c r="A39" s="54" t="s">
        <v>22</v>
      </c>
      <c r="B39" s="55" t="s">
        <v>18</v>
      </c>
      <c r="C39" s="56">
        <v>10</v>
      </c>
      <c r="D39" s="57" t="s">
        <v>63</v>
      </c>
      <c r="E39" s="56">
        <v>3</v>
      </c>
      <c r="F39" s="56">
        <v>50</v>
      </c>
      <c r="G39" s="56">
        <f t="shared" ref="G39:G47" si="1">C39*E39*F39</f>
        <v>1500</v>
      </c>
      <c r="H39" s="58"/>
      <c r="I39" s="59" t="s">
        <v>55</v>
      </c>
      <c r="J39" s="62" t="s">
        <v>64</v>
      </c>
    </row>
    <row r="40" ht="34" customHeight="1" spans="1:10">
      <c r="A40" s="54" t="s">
        <v>22</v>
      </c>
      <c r="B40" s="55" t="s">
        <v>20</v>
      </c>
      <c r="C40" s="56">
        <v>10</v>
      </c>
      <c r="D40" s="57" t="s">
        <v>65</v>
      </c>
      <c r="E40" s="56">
        <v>3</v>
      </c>
      <c r="F40" s="56">
        <v>50</v>
      </c>
      <c r="G40" s="56">
        <f t="shared" si="1"/>
        <v>1500</v>
      </c>
      <c r="H40" s="58"/>
      <c r="I40" s="59" t="s">
        <v>55</v>
      </c>
      <c r="J40" s="62" t="s">
        <v>64</v>
      </c>
    </row>
    <row r="41" ht="34" customHeight="1" spans="1:10">
      <c r="A41" s="54" t="s">
        <v>22</v>
      </c>
      <c r="B41" s="55" t="s">
        <v>23</v>
      </c>
      <c r="C41" s="56">
        <v>10</v>
      </c>
      <c r="D41" s="57" t="s">
        <v>66</v>
      </c>
      <c r="E41" s="56">
        <v>3</v>
      </c>
      <c r="F41" s="56">
        <v>20</v>
      </c>
      <c r="G41" s="56">
        <f t="shared" si="1"/>
        <v>600</v>
      </c>
      <c r="H41" s="58"/>
      <c r="I41" s="59" t="s">
        <v>55</v>
      </c>
      <c r="J41" s="62" t="s">
        <v>64</v>
      </c>
    </row>
    <row r="42" ht="34" customHeight="1" spans="1:10">
      <c r="A42" s="55" t="s">
        <v>24</v>
      </c>
      <c r="B42" s="55" t="s">
        <v>18</v>
      </c>
      <c r="C42" s="56">
        <v>2</v>
      </c>
      <c r="D42" s="57" t="s">
        <v>67</v>
      </c>
      <c r="E42" s="56">
        <v>20</v>
      </c>
      <c r="F42" s="56">
        <v>20</v>
      </c>
      <c r="G42" s="56">
        <f t="shared" si="1"/>
        <v>800</v>
      </c>
      <c r="H42" s="58"/>
      <c r="I42" s="59" t="s">
        <v>40</v>
      </c>
      <c r="J42" s="62" t="s">
        <v>41</v>
      </c>
    </row>
    <row r="43" ht="34" customHeight="1" spans="1:10">
      <c r="A43" s="55" t="s">
        <v>24</v>
      </c>
      <c r="B43" s="55" t="s">
        <v>23</v>
      </c>
      <c r="C43" s="56">
        <v>2</v>
      </c>
      <c r="D43" s="57" t="s">
        <v>68</v>
      </c>
      <c r="E43" s="56">
        <v>20</v>
      </c>
      <c r="F43" s="56">
        <v>5</v>
      </c>
      <c r="G43" s="56">
        <f t="shared" si="1"/>
        <v>200</v>
      </c>
      <c r="H43" s="58"/>
      <c r="I43" s="59" t="s">
        <v>40</v>
      </c>
      <c r="J43" s="62" t="s">
        <v>41</v>
      </c>
    </row>
    <row r="44" ht="34" customHeight="1" spans="1:10">
      <c r="A44" s="55" t="s">
        <v>24</v>
      </c>
      <c r="B44" s="55" t="s">
        <v>18</v>
      </c>
      <c r="C44" s="56">
        <v>6</v>
      </c>
      <c r="D44" s="57" t="s">
        <v>69</v>
      </c>
      <c r="E44" s="56">
        <v>7</v>
      </c>
      <c r="F44" s="56">
        <v>80</v>
      </c>
      <c r="G44" s="56">
        <f t="shared" si="1"/>
        <v>3360</v>
      </c>
      <c r="H44" s="58"/>
      <c r="I44" s="59" t="s">
        <v>40</v>
      </c>
      <c r="J44" s="60" t="s">
        <v>70</v>
      </c>
    </row>
    <row r="45" ht="34" customHeight="1" spans="1:10">
      <c r="A45" s="55" t="s">
        <v>24</v>
      </c>
      <c r="B45" s="55" t="s">
        <v>20</v>
      </c>
      <c r="C45" s="56">
        <v>6</v>
      </c>
      <c r="D45" s="57" t="s">
        <v>71</v>
      </c>
      <c r="E45" s="56">
        <v>7</v>
      </c>
      <c r="F45" s="56">
        <v>50</v>
      </c>
      <c r="G45" s="56">
        <f t="shared" si="1"/>
        <v>2100</v>
      </c>
      <c r="H45" s="58"/>
      <c r="I45" s="59" t="s">
        <v>40</v>
      </c>
      <c r="J45" s="60" t="s">
        <v>70</v>
      </c>
    </row>
    <row r="46" ht="34" customHeight="1" spans="1:10">
      <c r="A46" s="55" t="s">
        <v>24</v>
      </c>
      <c r="B46" s="55" t="s">
        <v>18</v>
      </c>
      <c r="C46" s="56">
        <v>10</v>
      </c>
      <c r="D46" s="57" t="s">
        <v>72</v>
      </c>
      <c r="E46" s="56">
        <v>4</v>
      </c>
      <c r="F46" s="56">
        <v>40</v>
      </c>
      <c r="G46" s="56">
        <f t="shared" si="1"/>
        <v>1600</v>
      </c>
      <c r="H46" s="58"/>
      <c r="I46" s="59" t="s">
        <v>44</v>
      </c>
      <c r="J46" s="60" t="s">
        <v>70</v>
      </c>
    </row>
    <row r="47" ht="34" customHeight="1" spans="1:10">
      <c r="A47" s="55" t="s">
        <v>24</v>
      </c>
      <c r="B47" s="55" t="s">
        <v>23</v>
      </c>
      <c r="C47" s="56">
        <v>10</v>
      </c>
      <c r="D47" s="57" t="s">
        <v>73</v>
      </c>
      <c r="E47" s="56">
        <v>4</v>
      </c>
      <c r="F47" s="56">
        <v>20</v>
      </c>
      <c r="G47" s="56">
        <f t="shared" si="1"/>
        <v>800</v>
      </c>
      <c r="H47" s="58"/>
      <c r="I47" s="59" t="s">
        <v>44</v>
      </c>
      <c r="J47" s="60" t="s">
        <v>70</v>
      </c>
    </row>
    <row r="48" ht="34" customHeight="1" spans="1:10">
      <c r="A48" s="63" t="s">
        <v>74</v>
      </c>
      <c r="B48" s="64"/>
      <c r="C48" s="64"/>
      <c r="D48" s="64"/>
      <c r="E48" s="64"/>
      <c r="F48" s="64">
        <f>SUM(F25:F47)</f>
        <v>945</v>
      </c>
      <c r="G48" s="64">
        <f>SUM(G25:G47)</f>
        <v>36460</v>
      </c>
      <c r="H48" s="64"/>
      <c r="I48" s="64"/>
      <c r="J48" s="64"/>
    </row>
    <row r="49" ht="34" customHeight="1"/>
    <row r="50" ht="34" customHeight="1"/>
    <row r="51" ht="34" customHeight="1"/>
    <row r="52" ht="34" customHeight="1"/>
    <row r="53" ht="34" customHeight="1"/>
    <row r="54" ht="34" customHeight="1"/>
    <row r="55" ht="34" customHeight="1"/>
  </sheetData>
  <mergeCells count="16">
    <mergeCell ref="D1:H1"/>
    <mergeCell ref="D2:H2"/>
    <mergeCell ref="D4:I4"/>
    <mergeCell ref="A5:I5"/>
    <mergeCell ref="G6:H6"/>
    <mergeCell ref="A20:E20"/>
    <mergeCell ref="A23:I23"/>
    <mergeCell ref="A48:E48"/>
    <mergeCell ref="A9:A19"/>
    <mergeCell ref="B9:B19"/>
    <mergeCell ref="C9:C19"/>
    <mergeCell ref="D9:D11"/>
    <mergeCell ref="D12:D13"/>
    <mergeCell ref="D14:D16"/>
    <mergeCell ref="D17:D19"/>
    <mergeCell ref="A1:B4"/>
  </mergeCells>
  <pageMargins left="0.71" right="0.71" top="0.75" bottom="0.75" header="0.31" footer="0.31"/>
  <pageSetup paperSize="9" scale="84" orientation="portrait" horizontalDpi="200" verticalDpi="300"/>
  <headerFooter alignWithMargins="0" scaleWithDoc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个人版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马静</dc:creator>
  <cp:lastModifiedBy>一瓢</cp:lastModifiedBy>
  <cp:revision>1</cp:revision>
  <dcterms:created xsi:type="dcterms:W3CDTF">2016-11-01T12:53:09Z</dcterms:created>
  <dcterms:modified xsi:type="dcterms:W3CDTF">2026-08-14T02:20:14Z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638BA26AD02A4DFFA72075E8A08B0377_13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