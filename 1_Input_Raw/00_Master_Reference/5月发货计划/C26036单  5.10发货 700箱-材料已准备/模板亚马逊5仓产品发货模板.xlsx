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<sst xmlns="http://schemas.openxmlformats.org/spreadsheetml/2006/main" count="103" uniqueCount="73">
  <si>
    <t>每包售价</t>
  </si>
  <si>
    <t>每包条数</t>
  </si>
  <si>
    <t>每条单价</t>
  </si>
  <si>
    <t>每箱单价</t>
  </si>
  <si>
    <t>规格</t>
  </si>
  <si>
    <t>FBA仓库</t>
  </si>
  <si>
    <t>POC2</t>
  </si>
  <si>
    <t>RDU2</t>
  </si>
  <si>
    <t>GYR3</t>
  </si>
  <si>
    <t>LAS1</t>
  </si>
  <si>
    <t>AVP1</t>
  </si>
  <si>
    <t>合计箱数</t>
  </si>
  <si>
    <t>尺寸</t>
  </si>
  <si>
    <t>每条净重</t>
  </si>
  <si>
    <t>每箱净重</t>
  </si>
  <si>
    <t>包材重量</t>
  </si>
  <si>
    <t>毛重</t>
  </si>
  <si>
    <t>仓库</t>
  </si>
  <si>
    <t>总净重</t>
  </si>
  <si>
    <t>总毛重</t>
  </si>
  <si>
    <t>110克桌布</t>
  </si>
  <si>
    <t>60圆</t>
  </si>
  <si>
    <t>90圆</t>
  </si>
  <si>
    <t>84黑</t>
  </si>
  <si>
    <t>102-2条</t>
  </si>
  <si>
    <t>102-6条</t>
  </si>
  <si>
    <t>102-10条</t>
  </si>
  <si>
    <t>126白</t>
  </si>
  <si>
    <t>70*120-2条</t>
  </si>
  <si>
    <t>70*120-2</t>
  </si>
  <si>
    <t>70*120-6条</t>
  </si>
  <si>
    <t>70*120-6</t>
  </si>
  <si>
    <t>90圆-2条</t>
  </si>
  <si>
    <t>90圆-2</t>
  </si>
  <si>
    <t>90圆-6条</t>
  </si>
  <si>
    <t>90圆-6</t>
  </si>
  <si>
    <t>桌旗</t>
  </si>
  <si>
    <t>6条装</t>
  </si>
  <si>
    <t>桌旗-35*120</t>
  </si>
  <si>
    <t>10条装</t>
  </si>
  <si>
    <t>90克桌布</t>
  </si>
  <si>
    <t>150克桌布</t>
  </si>
  <si>
    <t>84白-2</t>
  </si>
  <si>
    <t>84白-6</t>
  </si>
  <si>
    <t>102白-2</t>
  </si>
  <si>
    <t>102白-6</t>
  </si>
  <si>
    <t>每个仓库箱数</t>
  </si>
  <si>
    <t>合计</t>
  </si>
  <si>
    <t>SBD1</t>
  </si>
  <si>
    <t>产品数</t>
  </si>
  <si>
    <t>金额</t>
  </si>
  <si>
    <t>单价</t>
  </si>
  <si>
    <t>净重</t>
  </si>
  <si>
    <t>箱数</t>
  </si>
  <si>
    <t>运费</t>
  </si>
  <si>
    <t>入库配置费</t>
  </si>
  <si>
    <t>总费用</t>
  </si>
  <si>
    <t>C26006剩余350</t>
  </si>
  <si>
    <t>单点</t>
  </si>
  <si>
    <t>psc2</t>
  </si>
  <si>
    <t>五仓</t>
  </si>
  <si>
    <t>ONT8</t>
  </si>
  <si>
    <t>FWA4</t>
  </si>
  <si>
    <t>PSC2</t>
  </si>
  <si>
    <t>MEM1</t>
  </si>
  <si>
    <r>
      <rPr>
        <sz val="11"/>
        <color theme="1"/>
        <rFont val="宋体"/>
        <charset val="134"/>
        <scheme val="minor"/>
      </rPr>
      <t>为减少出错误的概率，建议在贴标时，按照如下步骤进行。
1，将生产好的产品，按照FBA仓库的不同划分为五个区，比如,SBD1区，一共38箱货，分别为8箱 84黑；30箱 102白.依次划分
2，对于分好区的货，先一箱贴一张物流入库贴。然后按照不同的尺寸，贴对应的外箱贴。（</t>
    </r>
    <r>
      <rPr>
        <sz val="11"/>
        <color rgb="FFFF0000"/>
        <rFont val="宋体"/>
        <charset val="134"/>
        <scheme val="minor"/>
      </rPr>
      <t>对于同一个FBA仓库的产品，入库贴不用做区分，都是一样的作用。但是外箱贴，需要根据不同的尺寸，一一对应。</t>
    </r>
    <r>
      <rPr>
        <sz val="11"/>
        <color theme="1"/>
        <rFont val="宋体"/>
        <charset val="134"/>
        <scheme val="minor"/>
      </rPr>
      <t>）</t>
    </r>
  </si>
  <si>
    <t>ABE8</t>
  </si>
  <si>
    <t>美东</t>
  </si>
  <si>
    <t>C26028</t>
  </si>
  <si>
    <t>POC3</t>
  </si>
  <si>
    <t>IND9</t>
  </si>
  <si>
    <t>RDU4</t>
  </si>
  <si>
    <t>ABQ2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</si>
</sst>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tabSelected="1" topLeftCell="D1" workbookViewId="0">
      <selection activeCell="I13" sqref="I13"/>
    </sheetView>
  </sheetViews>
  <sheetFormatPr defaultColWidth="8.725" defaultRowHeight="13.5"/>
  <cols>
    <col min="3" max="4" width="10.375" style="1" customWidth="1"/>
    <col min="6" max="12" width="12.6333333333333" customWidth="1"/>
    <col min="13" max="14" width="12.625"/>
    <col min="16" max="19" width="12.625"/>
    <col min="20" max="20" width="8.625" customWidth="1"/>
    <col min="21" max="23" width="12.625"/>
  </cols>
  <sheetData>
    <row r="1" ht="25" customHeight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6" t="s">
        <v>18</v>
      </c>
      <c r="V1" s="7" t="s">
        <v>19</v>
      </c>
    </row>
    <row r="2" ht="33" customHeight="1" spans="1:22">
      <c r="A2" s="2"/>
      <c r="B2" s="2"/>
      <c r="C2" s="8"/>
      <c r="D2" s="8"/>
      <c r="E2" s="9" t="s">
        <v>20</v>
      </c>
      <c r="F2" s="10" t="s">
        <v>21</v>
      </c>
      <c r="G2" s="2"/>
      <c r="H2" s="2"/>
      <c r="I2" s="2"/>
      <c r="J2" s="2"/>
      <c r="K2" s="2"/>
      <c r="L2" s="7">
        <f t="shared" ref="L2:L14" si="0">SUM(G2:K2)</f>
        <v>0</v>
      </c>
      <c r="N2" s="11" t="s">
        <v>20</v>
      </c>
      <c r="O2" s="2" t="s">
        <v>21</v>
      </c>
      <c r="P2" s="12">
        <f>1.832*110/1000</f>
        <v>0.20152</v>
      </c>
      <c r="Q2" s="12">
        <f>P2*90</f>
        <v>18.1368</v>
      </c>
      <c r="R2" s="12">
        <f>1.18+0.16</f>
        <v>1.34</v>
      </c>
      <c r="S2" s="12">
        <f t="shared" ref="S2:S19" si="1">Q2+R2</f>
        <v>19.4768</v>
      </c>
      <c r="T2" s="12"/>
      <c r="U2" s="12">
        <f t="shared" ref="U2:U19" si="2">L2*Q2</f>
        <v>0</v>
      </c>
      <c r="V2" s="12">
        <f t="shared" ref="V2:V19" si="3">S2*L2</f>
        <v>0</v>
      </c>
    </row>
    <row r="3" ht="33" customHeight="1" spans="1:22">
      <c r="A3" s="2"/>
      <c r="B3" s="2"/>
      <c r="C3" s="8"/>
      <c r="D3" s="8"/>
      <c r="E3" s="13"/>
      <c r="F3" s="10" t="s">
        <v>22</v>
      </c>
      <c r="G3" s="2"/>
      <c r="H3" s="2"/>
      <c r="I3" s="2"/>
      <c r="J3" s="2"/>
      <c r="K3" s="2"/>
      <c r="L3" s="7">
        <f t="shared" si="0"/>
        <v>0</v>
      </c>
      <c r="N3" s="14"/>
      <c r="O3" s="2" t="s">
        <v>22</v>
      </c>
      <c r="P3" s="12">
        <f>4.1043*110/1000</f>
        <v>0.451473</v>
      </c>
      <c r="Q3" s="12">
        <f>P3*42</f>
        <v>18.961866</v>
      </c>
      <c r="R3" s="12">
        <f>0.86+0.14</f>
        <v>1</v>
      </c>
      <c r="S3" s="12">
        <f t="shared" si="1"/>
        <v>19.961866</v>
      </c>
      <c r="T3" s="12"/>
      <c r="U3" s="12">
        <f t="shared" si="2"/>
        <v>0</v>
      </c>
      <c r="V3" s="12">
        <f t="shared" si="3"/>
        <v>0</v>
      </c>
    </row>
    <row r="4" ht="36" customHeight="1" spans="1:22">
      <c r="A4" s="2">
        <v>19.99</v>
      </c>
      <c r="B4" s="2">
        <v>6</v>
      </c>
      <c r="C4" s="8">
        <f t="shared" ref="C4:C12" si="4">A4/B4</f>
        <v>3.33166666666667</v>
      </c>
      <c r="D4" s="8">
        <f>48*C4</f>
        <v>159.92</v>
      </c>
      <c r="E4" s="13"/>
      <c r="F4" s="10" t="s">
        <v>23</v>
      </c>
      <c r="G4" s="2"/>
      <c r="H4" s="2"/>
      <c r="I4" s="2"/>
      <c r="J4" s="2"/>
      <c r="K4" s="2"/>
      <c r="L4" s="7">
        <f t="shared" si="0"/>
        <v>0</v>
      </c>
      <c r="N4" s="14"/>
      <c r="O4" s="2">
        <v>84</v>
      </c>
      <c r="P4" s="12">
        <f>60*2.54*84*2.54/10000*0.11</f>
        <v>0.357676704</v>
      </c>
      <c r="Q4" s="12">
        <f>P4*48</f>
        <v>17.168481792</v>
      </c>
      <c r="R4" s="12">
        <f>1.18+0.08</f>
        <v>1.26</v>
      </c>
      <c r="S4" s="12">
        <f t="shared" si="1"/>
        <v>18.428481792</v>
      </c>
      <c r="T4" s="12"/>
      <c r="U4" s="12">
        <f t="shared" si="2"/>
        <v>0</v>
      </c>
      <c r="V4" s="12">
        <f t="shared" si="3"/>
        <v>0</v>
      </c>
    </row>
    <row r="5" ht="36" customHeight="1" spans="1:22">
      <c r="A5" s="2">
        <v>9.99</v>
      </c>
      <c r="B5" s="2">
        <v>2</v>
      </c>
      <c r="C5" s="8">
        <f t="shared" si="4"/>
        <v>4.995</v>
      </c>
      <c r="D5" s="8">
        <f>C5*40</f>
        <v>199.8</v>
      </c>
      <c r="E5" s="13"/>
      <c r="F5" s="10" t="s">
        <v>24</v>
      </c>
      <c r="G5" s="2">
        <v>5</v>
      </c>
      <c r="H5" s="2"/>
      <c r="I5" s="2"/>
      <c r="J5" s="2"/>
      <c r="K5" s="2"/>
      <c r="L5" s="7">
        <f t="shared" si="0"/>
        <v>5</v>
      </c>
      <c r="N5" s="14"/>
      <c r="O5" s="10" t="s">
        <v>24</v>
      </c>
      <c r="P5" s="12">
        <f>60*2.54*102*2.54/10000*0.11</f>
        <v>0.434321712</v>
      </c>
      <c r="Q5" s="12">
        <f>P5*40</f>
        <v>17.37286848</v>
      </c>
      <c r="R5" s="12">
        <f>1.18+0.2</f>
        <v>1.38</v>
      </c>
      <c r="S5" s="12">
        <f t="shared" si="1"/>
        <v>18.75286848</v>
      </c>
      <c r="T5" s="12"/>
      <c r="U5" s="12">
        <f t="shared" si="2"/>
        <v>86.8643424</v>
      </c>
      <c r="V5" s="12">
        <f t="shared" si="3"/>
        <v>93.7643424</v>
      </c>
    </row>
    <row r="6" ht="25" customHeight="1" spans="1:22">
      <c r="A6" s="2">
        <v>27.99</v>
      </c>
      <c r="B6" s="2">
        <v>6</v>
      </c>
      <c r="C6" s="8">
        <f t="shared" si="4"/>
        <v>4.665</v>
      </c>
      <c r="D6" s="3">
        <f>C6*42</f>
        <v>195.93</v>
      </c>
      <c r="E6" s="13"/>
      <c r="F6" s="10" t="s">
        <v>25</v>
      </c>
      <c r="G6" s="2">
        <v>20</v>
      </c>
      <c r="H6" s="2">
        <v>357</v>
      </c>
      <c r="I6" s="2">
        <v>243</v>
      </c>
      <c r="J6" s="2"/>
      <c r="K6" s="2"/>
      <c r="L6" s="7">
        <f t="shared" si="0"/>
        <v>620</v>
      </c>
      <c r="N6" s="14"/>
      <c r="O6" s="2" t="s">
        <v>25</v>
      </c>
      <c r="P6" s="12">
        <f>60*2.54*102*2.54/10000*0.11</f>
        <v>0.434321712</v>
      </c>
      <c r="Q6" s="12">
        <f>P6*42</f>
        <v>18.241511904</v>
      </c>
      <c r="R6" s="12">
        <f>1.18+0.07</f>
        <v>1.25</v>
      </c>
      <c r="S6" s="12">
        <f t="shared" si="1"/>
        <v>19.491511904</v>
      </c>
      <c r="T6" s="12"/>
      <c r="U6" s="12">
        <f t="shared" si="2"/>
        <v>11309.73738048</v>
      </c>
      <c r="V6" s="12">
        <f t="shared" si="3"/>
        <v>12084.73738048</v>
      </c>
    </row>
    <row r="7" ht="25" customHeight="1" spans="1:22">
      <c r="A7" s="2">
        <v>39.99</v>
      </c>
      <c r="B7" s="2">
        <v>10</v>
      </c>
      <c r="C7" s="8">
        <f t="shared" si="4"/>
        <v>3.999</v>
      </c>
      <c r="D7" s="3">
        <f>C7*40</f>
        <v>159.96</v>
      </c>
      <c r="E7" s="13"/>
      <c r="F7" s="10" t="s">
        <v>26</v>
      </c>
      <c r="G7" s="2">
        <v>70</v>
      </c>
      <c r="H7" s="2"/>
      <c r="I7" s="2"/>
      <c r="J7" s="2"/>
      <c r="K7" s="2"/>
      <c r="L7" s="7">
        <f t="shared" si="0"/>
        <v>70</v>
      </c>
      <c r="N7" s="14"/>
      <c r="O7" s="2" t="s">
        <v>26</v>
      </c>
      <c r="P7" s="12">
        <f>60*2.54*102*2.54/10000*0.11</f>
        <v>0.434321712</v>
      </c>
      <c r="Q7" s="12">
        <f>P7*40</f>
        <v>17.37286848</v>
      </c>
      <c r="R7" s="12">
        <f>0.86+0.32*4</f>
        <v>2.14</v>
      </c>
      <c r="S7" s="12">
        <f t="shared" si="1"/>
        <v>19.51286848</v>
      </c>
      <c r="T7" s="12"/>
      <c r="U7" s="12">
        <f t="shared" si="2"/>
        <v>1216.1007936</v>
      </c>
      <c r="V7" s="12">
        <f t="shared" si="3"/>
        <v>1365.9007936</v>
      </c>
    </row>
    <row r="8" ht="25" customHeight="1" spans="1:22">
      <c r="A8" s="2">
        <v>34.99</v>
      </c>
      <c r="B8" s="2">
        <v>6</v>
      </c>
      <c r="C8" s="8">
        <f t="shared" si="4"/>
        <v>5.83166666666667</v>
      </c>
      <c r="D8" s="3">
        <f>C8*36</f>
        <v>209.94</v>
      </c>
      <c r="E8" s="13"/>
      <c r="F8" s="10" t="s">
        <v>27</v>
      </c>
      <c r="G8" s="2"/>
      <c r="H8" s="2"/>
      <c r="I8" s="2"/>
      <c r="J8" s="2"/>
      <c r="K8" s="2"/>
      <c r="L8" s="7">
        <f t="shared" si="0"/>
        <v>0</v>
      </c>
      <c r="N8" s="14"/>
      <c r="O8" s="2">
        <v>126</v>
      </c>
      <c r="P8" s="12">
        <f>60*2.54*126*2.54/10000*0.11</f>
        <v>0.536515056</v>
      </c>
      <c r="Q8" s="12">
        <f>P8*36</f>
        <v>19.314542016</v>
      </c>
      <c r="R8" s="12">
        <f>1.3+0.15*6</f>
        <v>2.2</v>
      </c>
      <c r="S8" s="12">
        <f t="shared" si="1"/>
        <v>21.514542016</v>
      </c>
      <c r="T8" s="12"/>
      <c r="U8" s="12">
        <f t="shared" si="2"/>
        <v>0</v>
      </c>
      <c r="V8" s="12">
        <f t="shared" si="3"/>
        <v>0</v>
      </c>
    </row>
    <row r="9" ht="25" customHeight="1" spans="1:22">
      <c r="A9" s="2">
        <v>14.99</v>
      </c>
      <c r="B9" s="2">
        <v>2</v>
      </c>
      <c r="C9" s="8">
        <f t="shared" si="4"/>
        <v>7.495</v>
      </c>
      <c r="D9" s="3">
        <f>C9*30</f>
        <v>224.85</v>
      </c>
      <c r="E9" s="13"/>
      <c r="F9" s="10" t="s">
        <v>28</v>
      </c>
      <c r="G9" s="2">
        <v>15</v>
      </c>
      <c r="H9" s="2"/>
      <c r="I9" s="2"/>
      <c r="J9" s="2"/>
      <c r="K9" s="2"/>
      <c r="L9" s="7">
        <f t="shared" si="0"/>
        <v>15</v>
      </c>
      <c r="N9" s="14"/>
      <c r="O9" s="2" t="s">
        <v>29</v>
      </c>
      <c r="P9" s="12">
        <f>70*2.54*120*2.54/10000*0.11</f>
        <v>0.59612784</v>
      </c>
      <c r="Q9" s="12">
        <f>P9*30</f>
        <v>17.8838352</v>
      </c>
      <c r="R9" s="12">
        <f>1.18+0.05*15</f>
        <v>1.93</v>
      </c>
      <c r="S9" s="12">
        <f t="shared" si="1"/>
        <v>19.8138352</v>
      </c>
      <c r="T9" s="12"/>
      <c r="U9" s="12">
        <f t="shared" si="2"/>
        <v>268.257528</v>
      </c>
      <c r="V9" s="12">
        <f t="shared" si="3"/>
        <v>297.207528</v>
      </c>
    </row>
    <row r="10" ht="25" customHeight="1" spans="1:22">
      <c r="A10" s="2">
        <v>36.99</v>
      </c>
      <c r="B10" s="2">
        <v>6</v>
      </c>
      <c r="C10" s="8">
        <f t="shared" si="4"/>
        <v>6.165</v>
      </c>
      <c r="D10" s="3">
        <f>C10*30</f>
        <v>184.95</v>
      </c>
      <c r="E10" s="13"/>
      <c r="F10" s="10" t="s">
        <v>30</v>
      </c>
      <c r="G10" s="2">
        <v>40</v>
      </c>
      <c r="H10" s="2"/>
      <c r="I10" s="2"/>
      <c r="J10" s="2"/>
      <c r="K10" s="2"/>
      <c r="L10" s="7">
        <f t="shared" si="0"/>
        <v>40</v>
      </c>
      <c r="N10" s="14"/>
      <c r="O10" s="2" t="s">
        <v>31</v>
      </c>
      <c r="P10" s="12">
        <f>70*2.54*120*2.54/10000*0.11</f>
        <v>0.59612784</v>
      </c>
      <c r="Q10" s="12">
        <f>P10*30</f>
        <v>17.8838352</v>
      </c>
      <c r="R10" s="12">
        <f>1.18+0.05*5</f>
        <v>1.43</v>
      </c>
      <c r="S10" s="12">
        <f t="shared" si="1"/>
        <v>19.3138352</v>
      </c>
      <c r="T10" s="12"/>
      <c r="U10" s="12">
        <f t="shared" si="2"/>
        <v>715.353408</v>
      </c>
      <c r="V10" s="12">
        <f t="shared" si="3"/>
        <v>772.553408</v>
      </c>
    </row>
    <row r="11" ht="25" customHeight="1" spans="1:22">
      <c r="A11" s="2">
        <v>12.99</v>
      </c>
      <c r="B11" s="2">
        <v>2</v>
      </c>
      <c r="C11" s="8">
        <f t="shared" si="4"/>
        <v>6.495</v>
      </c>
      <c r="D11" s="3">
        <f>C11*40</f>
        <v>259.8</v>
      </c>
      <c r="E11" s="13"/>
      <c r="F11" s="10" t="s">
        <v>32</v>
      </c>
      <c r="G11" s="2">
        <v>10</v>
      </c>
      <c r="H11" s="2"/>
      <c r="I11" s="2"/>
      <c r="J11" s="2"/>
      <c r="K11" s="2"/>
      <c r="L11" s="7">
        <f t="shared" si="0"/>
        <v>10</v>
      </c>
      <c r="N11" s="14"/>
      <c r="O11" s="2" t="s">
        <v>33</v>
      </c>
      <c r="P11" s="12">
        <f>45*2.54*45*2.54*3.1415/10000*0.11</f>
        <v>0.451463048685</v>
      </c>
      <c r="Q11" s="12">
        <f>P11*40</f>
        <v>18.0585219474</v>
      </c>
      <c r="R11" s="12">
        <f>0.86+0.2</f>
        <v>1.06</v>
      </c>
      <c r="S11" s="12">
        <f t="shared" si="1"/>
        <v>19.1185219474</v>
      </c>
      <c r="T11" s="12"/>
      <c r="U11" s="12">
        <f t="shared" si="2"/>
        <v>180.585219474</v>
      </c>
      <c r="V11" s="12">
        <f t="shared" si="3"/>
        <v>191.185219474</v>
      </c>
    </row>
    <row r="12" ht="25" customHeight="1" spans="1:22">
      <c r="A12" s="2">
        <v>34.99</v>
      </c>
      <c r="B12" s="2">
        <v>6</v>
      </c>
      <c r="C12" s="8">
        <f t="shared" si="4"/>
        <v>5.83166666666667</v>
      </c>
      <c r="D12" s="3">
        <f>C12*42</f>
        <v>244.93</v>
      </c>
      <c r="E12" s="13"/>
      <c r="F12" s="10" t="s">
        <v>34</v>
      </c>
      <c r="G12" s="2">
        <v>20</v>
      </c>
      <c r="H12" s="2"/>
      <c r="I12" s="2">
        <v>57</v>
      </c>
      <c r="J12" s="2"/>
      <c r="K12" s="2"/>
      <c r="L12" s="7">
        <f t="shared" si="0"/>
        <v>77</v>
      </c>
      <c r="N12" s="15"/>
      <c r="O12" s="2" t="s">
        <v>35</v>
      </c>
      <c r="P12" s="12">
        <f>45*2.54*45*2.54*3.1415/10000*0.11</f>
        <v>0.451463048685</v>
      </c>
      <c r="Q12" s="12">
        <f>P12*42</f>
        <v>18.96144804477</v>
      </c>
      <c r="R12" s="12">
        <f>0.86+0.14</f>
        <v>1</v>
      </c>
      <c r="S12" s="12">
        <f t="shared" si="1"/>
        <v>19.96144804477</v>
      </c>
      <c r="T12" s="12"/>
      <c r="U12" s="12">
        <f t="shared" si="2"/>
        <v>1460.03149944729</v>
      </c>
      <c r="V12" s="12">
        <f t="shared" si="3"/>
        <v>1537.03149944729</v>
      </c>
    </row>
    <row r="13" ht="25" customHeight="1" spans="1:22">
      <c r="A13" s="2"/>
      <c r="B13" s="2"/>
      <c r="C13" s="3"/>
      <c r="D13" s="3"/>
      <c r="E13" s="11" t="s">
        <v>36</v>
      </c>
      <c r="F13" s="10" t="s">
        <v>37</v>
      </c>
      <c r="G13" s="2"/>
      <c r="H13" s="2"/>
      <c r="I13" s="2"/>
      <c r="J13" s="2"/>
      <c r="K13" s="2"/>
      <c r="L13" s="7">
        <f t="shared" si="0"/>
        <v>0</v>
      </c>
      <c r="N13" s="16" t="s">
        <v>38</v>
      </c>
      <c r="O13" s="10" t="s">
        <v>37</v>
      </c>
      <c r="P13" s="12">
        <v>0.13</v>
      </c>
      <c r="Q13" s="12">
        <f>P13*144</f>
        <v>18.72</v>
      </c>
      <c r="R13" s="12">
        <f>0.02*24+1.78</f>
        <v>2.26</v>
      </c>
      <c r="S13" s="12">
        <f t="shared" si="1"/>
        <v>20.98</v>
      </c>
      <c r="T13" s="12"/>
      <c r="U13" s="12">
        <f t="shared" si="2"/>
        <v>0</v>
      </c>
      <c r="V13" s="12">
        <f t="shared" si="3"/>
        <v>0</v>
      </c>
    </row>
    <row r="14" ht="25" customHeight="1" spans="1:22">
      <c r="A14" s="2"/>
      <c r="B14" s="2"/>
      <c r="C14" s="3"/>
      <c r="D14" s="3"/>
      <c r="E14" s="15"/>
      <c r="F14" s="10" t="s">
        <v>39</v>
      </c>
      <c r="G14" s="2"/>
      <c r="H14" s="2"/>
      <c r="I14" s="2"/>
      <c r="J14" s="2"/>
      <c r="K14" s="2"/>
      <c r="L14" s="7">
        <f t="shared" si="0"/>
        <v>0</v>
      </c>
      <c r="N14" s="16"/>
      <c r="O14" s="10" t="s">
        <v>39</v>
      </c>
      <c r="P14" s="12">
        <v>0.13</v>
      </c>
      <c r="Q14" s="12">
        <f>P14*140</f>
        <v>18.2</v>
      </c>
      <c r="R14" s="12">
        <f>0.02*10+1.78</f>
        <v>1.98</v>
      </c>
      <c r="S14" s="12">
        <f t="shared" si="1"/>
        <v>20.18</v>
      </c>
      <c r="T14" s="12"/>
      <c r="U14" s="12">
        <f t="shared" si="2"/>
        <v>0</v>
      </c>
      <c r="V14" s="12">
        <f t="shared" si="3"/>
        <v>0</v>
      </c>
    </row>
    <row r="15" ht="25" customHeight="1" spans="1:22">
      <c r="A15" s="2"/>
      <c r="B15" s="2"/>
      <c r="C15" s="3"/>
      <c r="D15" s="3">
        <f>34.99*4</f>
        <v>139.96</v>
      </c>
      <c r="E15" s="14" t="s">
        <v>40</v>
      </c>
      <c r="F15" s="10" t="s">
        <v>26</v>
      </c>
      <c r="G15" s="2"/>
      <c r="H15" s="2"/>
      <c r="I15" s="2"/>
      <c r="J15" s="2"/>
      <c r="K15" s="2"/>
      <c r="L15" s="7"/>
      <c r="N15" s="16" t="s">
        <v>40</v>
      </c>
      <c r="O15" s="10" t="s">
        <v>39</v>
      </c>
      <c r="P15" s="12">
        <f>60*2.54*102*2.54/10000*0.09</f>
        <v>0.355354128</v>
      </c>
      <c r="Q15" s="12">
        <f>P15*40</f>
        <v>14.21416512</v>
      </c>
      <c r="R15" s="12">
        <v>1.25</v>
      </c>
      <c r="S15" s="12">
        <f t="shared" si="1"/>
        <v>15.46416512</v>
      </c>
      <c r="T15" s="12"/>
      <c r="U15" s="12">
        <f t="shared" si="2"/>
        <v>0</v>
      </c>
      <c r="V15" s="12">
        <f t="shared" si="3"/>
        <v>0</v>
      </c>
    </row>
    <row r="16" ht="25" customHeight="1" spans="1:22">
      <c r="A16" s="2"/>
      <c r="B16" s="2"/>
      <c r="C16" s="3"/>
      <c r="D16" s="3"/>
      <c r="E16" s="13" t="s">
        <v>41</v>
      </c>
      <c r="F16" s="17" t="s">
        <v>42</v>
      </c>
      <c r="G16" s="2"/>
      <c r="H16" s="2"/>
      <c r="I16" s="2"/>
      <c r="J16" s="2"/>
      <c r="K16" s="2"/>
      <c r="L16" s="7">
        <f>SUM(G16:K16)</f>
        <v>0</v>
      </c>
      <c r="N16" s="2" t="s">
        <v>41</v>
      </c>
      <c r="O16" s="17" t="s">
        <v>42</v>
      </c>
      <c r="P16" s="12">
        <f>60*2.54*84*2.54/100/100*0.167</f>
        <v>0.5430182688</v>
      </c>
      <c r="Q16" s="12">
        <f>P16*36</f>
        <v>19.5486576768</v>
      </c>
      <c r="R16" s="12">
        <f>0.05*18+1.5</f>
        <v>2.4</v>
      </c>
      <c r="S16" s="12">
        <f t="shared" si="1"/>
        <v>21.9486576768</v>
      </c>
      <c r="T16" s="12"/>
      <c r="U16" s="12">
        <f t="shared" si="2"/>
        <v>0</v>
      </c>
      <c r="V16" s="12">
        <f t="shared" si="3"/>
        <v>0</v>
      </c>
    </row>
    <row r="17" ht="25" customHeight="1" spans="1:22">
      <c r="A17" s="2"/>
      <c r="B17" s="2"/>
      <c r="C17" s="3"/>
      <c r="D17" s="3"/>
      <c r="E17" s="13"/>
      <c r="F17" s="10" t="s">
        <v>43</v>
      </c>
      <c r="G17" s="2"/>
      <c r="H17" s="2"/>
      <c r="I17" s="2"/>
      <c r="J17" s="2"/>
      <c r="K17" s="2"/>
      <c r="L17" s="7">
        <f>SUM(G17:K17)</f>
        <v>0</v>
      </c>
      <c r="N17" s="2"/>
      <c r="O17" s="10" t="s">
        <v>43</v>
      </c>
      <c r="P17" s="12">
        <f>60*2.54*84*2.54/100/100*0.167</f>
        <v>0.5430182688</v>
      </c>
      <c r="Q17" s="12">
        <f>P17*36</f>
        <v>19.5486576768</v>
      </c>
      <c r="R17" s="12">
        <f>0.05*6+1.5</f>
        <v>1.8</v>
      </c>
      <c r="S17" s="12">
        <f t="shared" si="1"/>
        <v>21.3486576768</v>
      </c>
      <c r="T17" s="12"/>
      <c r="U17" s="12">
        <f t="shared" si="2"/>
        <v>0</v>
      </c>
      <c r="V17" s="12">
        <f t="shared" si="3"/>
        <v>0</v>
      </c>
    </row>
    <row r="18" ht="25" customHeight="1" spans="1:22">
      <c r="A18" s="2"/>
      <c r="B18" s="2"/>
      <c r="C18" s="3"/>
      <c r="D18" s="3"/>
      <c r="E18" s="13"/>
      <c r="F18" s="10" t="s">
        <v>44</v>
      </c>
      <c r="G18" s="2"/>
      <c r="H18" s="2"/>
      <c r="I18" s="2"/>
      <c r="J18" s="2"/>
      <c r="K18" s="2"/>
      <c r="L18" s="7">
        <f>SUM(G18:K18)</f>
        <v>0</v>
      </c>
      <c r="N18" s="2"/>
      <c r="O18" s="10" t="s">
        <v>24</v>
      </c>
      <c r="P18" s="12">
        <f>60*2.54*102*2.54/100/100*0.167</f>
        <v>0.6593793264</v>
      </c>
      <c r="Q18" s="12">
        <f>P18*30</f>
        <v>19.781379792</v>
      </c>
      <c r="R18" s="12">
        <f>0.05*15+1.5</f>
        <v>2.25</v>
      </c>
      <c r="S18" s="12">
        <f t="shared" si="1"/>
        <v>22.031379792</v>
      </c>
      <c r="T18" s="12"/>
      <c r="U18" s="12">
        <f t="shared" si="2"/>
        <v>0</v>
      </c>
      <c r="V18" s="12">
        <f t="shared" si="3"/>
        <v>0</v>
      </c>
    </row>
    <row r="19" ht="25" customHeight="1" spans="1:22">
      <c r="A19" s="2"/>
      <c r="B19" s="2"/>
      <c r="C19" s="3"/>
      <c r="D19" s="3"/>
      <c r="E19" s="18"/>
      <c r="F19" s="10" t="s">
        <v>45</v>
      </c>
      <c r="G19" s="2"/>
      <c r="H19" s="2"/>
      <c r="I19" s="2"/>
      <c r="J19" s="2"/>
      <c r="K19" s="2"/>
      <c r="L19" s="7">
        <f>SUM(G19:K19)</f>
        <v>0</v>
      </c>
      <c r="N19" s="2"/>
      <c r="O19" s="10" t="s">
        <v>25</v>
      </c>
      <c r="P19" s="12">
        <f>60*2.54*102*2.54/100/100*0.167</f>
        <v>0.6593793264</v>
      </c>
      <c r="Q19" s="12">
        <f>P19*30</f>
        <v>19.781379792</v>
      </c>
      <c r="R19" s="12">
        <f>0.05*5+1.5</f>
        <v>1.75</v>
      </c>
      <c r="S19" s="12">
        <f t="shared" si="1"/>
        <v>21.531379792</v>
      </c>
      <c r="T19" s="12"/>
      <c r="U19" s="12">
        <f t="shared" si="2"/>
        <v>0</v>
      </c>
      <c r="V19" s="12">
        <f t="shared" si="3"/>
        <v>0</v>
      </c>
    </row>
    <row r="20" ht="25" customHeight="1" spans="1:22">
      <c r="A20" s="2"/>
      <c r="B20" s="2"/>
      <c r="C20" s="3"/>
      <c r="D20" s="3"/>
      <c r="E20" s="2"/>
      <c r="F20" s="19" t="s">
        <v>46</v>
      </c>
      <c r="G20" s="2">
        <f>SUM(G2:G19)</f>
        <v>180</v>
      </c>
      <c r="H20" s="2">
        <f t="shared" ref="G20:L20" si="5">SUM(H2:H19)</f>
        <v>357</v>
      </c>
      <c r="I20" s="2">
        <f t="shared" si="5"/>
        <v>300</v>
      </c>
      <c r="J20" s="2">
        <f t="shared" si="5"/>
        <v>0</v>
      </c>
      <c r="K20" s="2">
        <f t="shared" si="5"/>
        <v>0</v>
      </c>
      <c r="L20" s="2">
        <f t="shared" si="5"/>
        <v>837</v>
      </c>
      <c r="O20" s="2"/>
      <c r="P20" s="2"/>
      <c r="Q20" s="2"/>
      <c r="R20" s="2"/>
      <c r="S20" s="2" t="s">
        <v>47</v>
      </c>
      <c r="T20" s="20" t="s">
        <v>48</v>
      </c>
      <c r="U20" s="21">
        <f>SUM(U4:U19)</f>
        <v>15236.9301714013</v>
      </c>
      <c r="V20" s="21">
        <f>SUM(V4:V19)</f>
        <v>16342.3801714013</v>
      </c>
    </row>
    <row r="21" ht="33" customHeight="1" spans="1:22">
      <c r="A21" s="2"/>
      <c r="B21" s="2"/>
      <c r="C21" s="3"/>
      <c r="D21" s="3"/>
      <c r="E21" s="2"/>
      <c r="F21" s="2" t="s">
        <v>49</v>
      </c>
      <c r="G21" s="2">
        <f>G2*90+G6*42+G4*48+G7*40+G8*36+G3*42+G5*40+G13*144+G14*140+G16*36+G19*30+G17*36+G18*30+G9*30+G11*40+G12*42+G10*30+G15*40</f>
        <v>6730</v>
      </c>
      <c r="H21" s="2">
        <f>H2*90+H6*42+H4*48+H7*40+H8*36+H3*42+H5*40+H13*144+H14*140+H16*36+H19*30+H17*36+H18*30+H9*30+H11*40+H12*42+H10*30+H15*40</f>
        <v>14994</v>
      </c>
      <c r="I21" s="2">
        <f>I2*90+I6*42+I4*48+I7*40+I8*36+I3*42+I5*40+I13*144+I14*140+I15*40+I16*36+I19*30+I17*36+I18*30+I9*30+I11*40+I12*42+I10*30</f>
        <v>12600</v>
      </c>
      <c r="J21" s="2">
        <f>J2*90+J6*42+J4*48+J7*40+J8*36+J3*42+J5*40+J13*144+J14*140+J15*40+J16*36+J19*30+J17*36+J18*30+J9*30+J11*40+J12*42+J10*30</f>
        <v>0</v>
      </c>
      <c r="K21" s="2">
        <f>K2*90+K6*42+K4*48+K7*40+K8*36+K3*42+K5*40+K13*144+K14*140+K15*40+K16*36+K19*30+K17*36+K18*30+K9*30+K11*40+K12*42+K10*30</f>
        <v>0</v>
      </c>
      <c r="L21" s="22"/>
      <c r="M21">
        <f>H21/H20</f>
        <v>42</v>
      </c>
    </row>
    <row r="22" ht="31" customHeight="1" spans="1:22">
      <c r="A22" s="2"/>
      <c r="B22" s="2"/>
      <c r="C22" s="3"/>
      <c r="D22" s="3"/>
      <c r="E22" s="2"/>
      <c r="F22" s="2" t="s">
        <v>50</v>
      </c>
      <c r="G22" s="3">
        <f>G2*D2+G3*D3+G4*D4+G5*D5+D6*G6+G7*D7+G8*D8+G9*D9+G11*D11+G12*D12+G13*D13+G14*D14+G16*D16+G17*D17+G18*D18+G19*D19+G10*D10+D15*G15</f>
        <v>34382.15</v>
      </c>
      <c r="H22" s="3">
        <f>D4*H4+H5*D5+D6*H6+H7*D7+D8*H8+H9*D9+H10*D10+H11*D11+H12*D12+D15*H15</f>
        <v>69947.01</v>
      </c>
      <c r="I22" s="3">
        <f>I4*D4+D5*I5+I6*D6+I7*D7+D8*I8+I9*D9+D10*I10+I11*D11+I12*D12+I15*D15</f>
        <v>61572</v>
      </c>
      <c r="J22" s="3">
        <f>J4*D4+J5*D5+J6*D6+J7*D7+J8*D8+J9*D9+J10*D10+J11*D11+J12*D12+J15*D15</f>
        <v>0</v>
      </c>
      <c r="K22" s="3">
        <f>K4*D4+K5*D5+K6*D6+K7*D7+K8*D8+K9*D9+K10*D10+K11*D11+K12*D12+K15*D15</f>
        <v>0</v>
      </c>
      <c r="L22" s="22"/>
      <c r="M22">
        <f>H22/H20/38</f>
        <v>5.15605263157895</v>
      </c>
    </row>
    <row r="23" ht="31" customHeight="1" spans="1:22">
      <c r="A23" s="2"/>
      <c r="B23" s="2"/>
      <c r="C23" s="3"/>
      <c r="D23" s="3"/>
      <c r="E23" s="2"/>
      <c r="F23" s="19" t="s">
        <v>51</v>
      </c>
      <c r="G23" s="23">
        <f>G22/G21</f>
        <v>5.10878900445765</v>
      </c>
      <c r="H23" s="23">
        <f>H22/H21</f>
        <v>4.665</v>
      </c>
      <c r="I23" s="23">
        <f>I22/I21</f>
        <v>4.88666666666667</v>
      </c>
      <c r="J23" s="23" t="e">
        <f>J22/J21</f>
        <v>#DIV/0!</v>
      </c>
      <c r="K23" s="23" t="e">
        <f>K22/K21</f>
        <v>#DIV/0!</v>
      </c>
    </row>
    <row r="24" ht="31" customHeight="1" spans="1:22">
      <c r="A24" s="2"/>
      <c r="B24" s="2"/>
      <c r="C24" s="3"/>
      <c r="D24" s="3"/>
      <c r="E24" s="2"/>
      <c r="F24" s="19" t="s">
        <v>52</v>
      </c>
      <c r="G24" s="23">
        <f>G15*Q15+G10*17.88+G2*18.13+G6*18.24+G4*17.17+G7*17.37+G8*19.31+G3*18.97+G5*17.37+G13*18.72+G14*18.2+G16*19.55+G17*19.55+G18*19.78+G19*19.78+G9*17.88+G11*18.06+G12*18.96</f>
        <v>3210.75</v>
      </c>
      <c r="H24" s="23">
        <f>H15*Q15+H10*17.88+H2*18.13+H6*18.24+H4*17.17+H7*17.37+H8*19.31+H3*18.97+H5*17.37+H13*18.72+H14*18.2+H16*19.55+H17*19.55+H18*19.78+H19*19.78+H9*17.88+H11*18.06+H12*18.96</f>
        <v>6511.68</v>
      </c>
      <c r="I24" s="23">
        <f>I15*Q15+I10*17.88+I2*18.13+I6*18.24+I4*17.17+I7*17.37+I8*19.31+I3*18.97+I5*17.37+I13*18.72+I14*18.2+I16*19.55+I17*19.55+I18*19.78+I19*19.78+I9*17.88+I11*18.06+I12*18.96</f>
        <v>5513.04</v>
      </c>
      <c r="J24" s="23">
        <f>J15*Q15+J10*17.88+J2*18.13+J6*18.24+J4*17.17+J7*17.37+J8*19.31+J3*18.97+J5*17.37+J13*18.72+J14*18.2+J16*19.55+J17*19.55+J18*19.78+J19*19.78+J9*17.88+J11*18.06+J12*18.96</f>
        <v>0</v>
      </c>
      <c r="K24" s="23">
        <f>K15*Q15+K10*17.88+K2*18.13+K6*18.24+K4*17.17+K7*17.37+K8*19.31+K3*18.97+K5*17.37+K13*18.72+K14*18.2+K16*19.55+K17*19.55+K18*19.78+K19*19.78+K9*17.88+K11*18.06+K12*18.96</f>
        <v>0</v>
      </c>
      <c r="L24">
        <f>SUM(G24:K24)</f>
        <v>15235.47</v>
      </c>
      <c r="P24" t="s">
        <v>53</v>
      </c>
      <c r="Q24" t="s">
        <v>51</v>
      </c>
      <c r="R24" t="s">
        <v>54</v>
      </c>
      <c r="S24" t="s">
        <v>55</v>
      </c>
      <c r="T24" t="s">
        <v>56</v>
      </c>
    </row>
    <row r="25" ht="31" customHeight="1" spans="1:22">
      <c r="A25" s="2"/>
      <c r="B25" s="2"/>
      <c r="C25" s="3"/>
      <c r="D25" s="3"/>
      <c r="E25" s="2"/>
      <c r="F25" s="19" t="s">
        <v>16</v>
      </c>
      <c r="G25" s="23">
        <f>G15*15.46+G10*19.31+G2*19.47+G3*19.96+G4*18.43+G5*18.67+G6*19.49+G7*19.51+G8*21.51+G13*20.98+G14*20.18+G16*21.95+G17*21.35+G18*22.03+G19*21.53+G9*20.08+G11*20.26+G12*21.16</f>
        <v>3548.25</v>
      </c>
      <c r="H25" s="23">
        <f>H15*15.46+H10*19.31+H2*19.47+H3*19.96+H4*18.43+H5*18.67+H6*19.49+H7*19.51+H8*21.51+H13*20.98+H14*20.18+H16*21.95+H17*21.35+H18*22.03+H19*21.53+H9*20.08+H11*20.26+H12*21.16</f>
        <v>6957.93</v>
      </c>
      <c r="I25" s="23">
        <f>I15*15.46+I10*19.31+I2*19.47+I3*19.96+I4*18.43+I5*18.67+I6*19.49+I7*19.51+I8*21.51+I13*20.98+I14*20.18+I16*21.95+I17*21.35+I18*22.03+I19*21.53+I9*20.08+I11*20.26+I12*21.16</f>
        <v>5942.19</v>
      </c>
      <c r="J25" s="23">
        <f>J15*15.46+J10*19.31+J2*19.47+J3*19.96+J4*18.43+J5*18.67+J6*19.49+J7*19.51+J8*21.51+J13*20.98+J14*20.18+J16*21.95+J17*21.35+J18*22.03+J19*21.53+J9*20.08+J11*20.26+J12*21.16</f>
        <v>0</v>
      </c>
      <c r="K25" s="23">
        <f>K15*15.46+K10*19.31+K2*19.47+K3*19.96+K4*18.43+K5*18.67+K6*19.49+K7*19.51+K8*21.51+K13*20.98+K14*20.18+K16*21.95+K17*21.35+K18*22.03+K19*21.53+K9*20.08+K11*20.26+K12*21.16</f>
        <v>0</v>
      </c>
      <c r="L25">
        <f>SUM(G25:K25)</f>
        <v>16448.37</v>
      </c>
      <c r="M25" t="s">
        <v>57</v>
      </c>
      <c r="N25" t="s">
        <v>58</v>
      </c>
      <c r="O25" t="s">
        <v>59</v>
      </c>
      <c r="P25">
        <v>350</v>
      </c>
      <c r="Q25">
        <v>6.8</v>
      </c>
      <c r="R25">
        <f>P25*Q25*20</f>
        <v>47600</v>
      </c>
      <c r="S25">
        <v>2224.4</v>
      </c>
      <c r="T25">
        <f>R25+S25*6.8</f>
        <v>62725.92</v>
      </c>
    </row>
    <row r="26" ht="31" customHeight="1" spans="1:22">
      <c r="N26" t="s">
        <v>60</v>
      </c>
      <c r="O26" t="s">
        <v>61</v>
      </c>
      <c r="P26">
        <v>76</v>
      </c>
      <c r="Q26">
        <v>4.2</v>
      </c>
      <c r="R26">
        <f>P26*Q26*20</f>
        <v>6384</v>
      </c>
      <c r="T26" s="24">
        <f>SUM(R26:R31)</f>
        <v>36704</v>
      </c>
    </row>
    <row r="27" ht="31" customHeight="1" spans="1:22">
      <c r="G27">
        <f>G21/G20</f>
        <v>37.3888888888889</v>
      </c>
      <c r="O27" t="s">
        <v>62</v>
      </c>
      <c r="P27">
        <v>64</v>
      </c>
      <c r="Q27">
        <v>6.4</v>
      </c>
      <c r="R27">
        <f>P27*Q27*20</f>
        <v>8192</v>
      </c>
      <c r="T27" s="24"/>
    </row>
    <row r="28" ht="31" customHeight="1" spans="1:22">
      <c r="G28">
        <f>G25/G20</f>
        <v>19.7125</v>
      </c>
      <c r="O28" t="s">
        <v>63</v>
      </c>
      <c r="P28">
        <v>2</v>
      </c>
      <c r="Q28">
        <v>6.8</v>
      </c>
      <c r="R28">
        <f>P28*Q28*20</f>
        <v>272</v>
      </c>
      <c r="T28" s="24"/>
    </row>
    <row r="29" spans="1:22">
      <c r="M29" s="24"/>
      <c r="O29" t="s">
        <v>64</v>
      </c>
      <c r="P29">
        <v>71</v>
      </c>
      <c r="Q29">
        <v>6.4</v>
      </c>
      <c r="R29">
        <f t="shared" ref="R29:R39" si="6">P29*Q29*20</f>
        <v>9088</v>
      </c>
      <c r="T29" s="24"/>
    </row>
    <row r="30" spans="1:22">
      <c r="F30" s="25" t="s">
        <v>65</v>
      </c>
      <c r="G30" s="25"/>
      <c r="H30" s="25"/>
      <c r="I30" s="25"/>
      <c r="J30" s="25"/>
      <c r="K30" s="25"/>
      <c r="L30" s="25"/>
      <c r="M30" s="24"/>
      <c r="O30" t="s">
        <v>66</v>
      </c>
      <c r="P30">
        <v>64</v>
      </c>
      <c r="Q30">
        <v>5.1</v>
      </c>
      <c r="R30">
        <f t="shared" si="6"/>
        <v>6528</v>
      </c>
      <c r="S30" t="s">
        <v>67</v>
      </c>
      <c r="T30" s="24"/>
    </row>
    <row r="31" spans="1:22">
      <c r="F31" s="24"/>
      <c r="G31" s="24"/>
      <c r="H31" s="24"/>
      <c r="I31" s="24"/>
      <c r="J31" s="24"/>
      <c r="K31" s="24"/>
      <c r="L31" s="24"/>
      <c r="M31" s="24"/>
      <c r="O31" t="s">
        <v>8</v>
      </c>
      <c r="P31">
        <v>65</v>
      </c>
      <c r="Q31">
        <v>4.8</v>
      </c>
      <c r="R31">
        <f t="shared" si="6"/>
        <v>6240</v>
      </c>
    </row>
    <row r="32" spans="1:22">
      <c r="F32" s="24"/>
      <c r="G32" s="24"/>
      <c r="H32" s="24"/>
      <c r="I32" s="24"/>
      <c r="J32" s="24"/>
      <c r="K32" s="24"/>
      <c r="L32" s="24"/>
      <c r="M32" s="24"/>
    </row>
    <row r="33" spans="6:20">
      <c r="F33" s="24"/>
      <c r="G33" s="24"/>
      <c r="H33" s="24"/>
      <c r="I33" s="24"/>
      <c r="J33" s="24"/>
      <c r="K33" s="24"/>
      <c r="L33" s="24"/>
      <c r="M33" s="24" t="s">
        <v>68</v>
      </c>
      <c r="N33" t="s">
        <v>58</v>
      </c>
      <c r="O33" t="s">
        <v>59</v>
      </c>
      <c r="P33">
        <v>357</v>
      </c>
      <c r="Q33">
        <v>4.2</v>
      </c>
      <c r="R33">
        <f>P33*Q33*20</f>
        <v>29988</v>
      </c>
      <c r="S33">
        <v>2249.1</v>
      </c>
      <c r="T33">
        <f>R33+S33*6.8</f>
        <v>45281.88</v>
      </c>
    </row>
    <row r="34" spans="6:20">
      <c r="F34" s="24"/>
      <c r="G34" s="24"/>
      <c r="H34" s="24"/>
      <c r="I34" s="24"/>
      <c r="J34" s="24"/>
      <c r="K34" s="24"/>
      <c r="L34" s="24"/>
      <c r="M34" s="24"/>
      <c r="O34" t="s">
        <v>61</v>
      </c>
      <c r="P34">
        <v>90</v>
      </c>
      <c r="Q34">
        <v>4.2</v>
      </c>
      <c r="R34">
        <f>P34*Q34*20</f>
        <v>7560</v>
      </c>
      <c r="T34" s="24">
        <f>SUM(R34:R39)</f>
        <v>37794</v>
      </c>
    </row>
    <row r="35" spans="6:20">
      <c r="F35" s="24"/>
      <c r="G35" s="24"/>
      <c r="H35" s="24"/>
      <c r="I35" s="24"/>
      <c r="J35" s="24"/>
      <c r="K35" s="24"/>
      <c r="L35" s="24"/>
      <c r="O35" t="s">
        <v>62</v>
      </c>
      <c r="P35">
        <v>60</v>
      </c>
      <c r="Q35">
        <v>6.4</v>
      </c>
      <c r="R35">
        <f t="shared" si="6"/>
        <v>7680</v>
      </c>
      <c r="T35" s="24"/>
    </row>
    <row r="36" spans="6:20">
      <c r="K36">
        <f>3.89/10/3.95</f>
        <v>0.0984810126582278</v>
      </c>
      <c r="O36" t="s">
        <v>69</v>
      </c>
      <c r="Q36">
        <v>4.2</v>
      </c>
      <c r="R36">
        <f t="shared" si="6"/>
        <v>0</v>
      </c>
      <c r="T36" s="24"/>
    </row>
    <row r="37" spans="6:20">
      <c r="O37" t="s">
        <v>64</v>
      </c>
      <c r="P37">
        <v>72</v>
      </c>
      <c r="Q37">
        <v>6.4</v>
      </c>
      <c r="R37">
        <f t="shared" si="6"/>
        <v>9216</v>
      </c>
      <c r="T37" s="24"/>
    </row>
    <row r="38" spans="6:20">
      <c r="O38" t="s">
        <v>66</v>
      </c>
      <c r="P38">
        <v>63</v>
      </c>
      <c r="Q38">
        <v>5.1</v>
      </c>
      <c r="R38">
        <f t="shared" si="6"/>
        <v>6426</v>
      </c>
      <c r="S38" t="s">
        <v>67</v>
      </c>
      <c r="T38" s="24"/>
    </row>
    <row r="39" spans="6:20">
      <c r="O39" t="s">
        <v>8</v>
      </c>
      <c r="P39">
        <v>72</v>
      </c>
      <c r="Q39">
        <v>4.8</v>
      </c>
      <c r="R39">
        <f t="shared" si="6"/>
        <v>6912</v>
      </c>
    </row>
    <row r="44" ht="26" customHeight="1" spans="6:20">
      <c r="M44" t="s">
        <v>61</v>
      </c>
      <c r="N44">
        <v>75</v>
      </c>
      <c r="O44">
        <v>4.2</v>
      </c>
      <c r="P44">
        <f t="shared" ref="P44:P49" si="7">N44*O44*20</f>
        <v>6300</v>
      </c>
    </row>
    <row r="45" ht="25" customHeight="1" spans="6:20">
      <c r="M45" t="s">
        <v>70</v>
      </c>
      <c r="N45">
        <v>75</v>
      </c>
      <c r="O45">
        <v>6.4</v>
      </c>
      <c r="P45">
        <f t="shared" si="7"/>
        <v>9600</v>
      </c>
    </row>
    <row r="46" ht="25" customHeight="1" spans="6:20">
      <c r="M46" t="s">
        <v>8</v>
      </c>
      <c r="N46">
        <v>68</v>
      </c>
      <c r="O46">
        <v>4.8</v>
      </c>
      <c r="P46">
        <f t="shared" si="7"/>
        <v>6528</v>
      </c>
    </row>
    <row r="47" ht="25" customHeight="1" spans="6:20">
      <c r="M47" t="s">
        <v>62</v>
      </c>
      <c r="N47">
        <v>67</v>
      </c>
      <c r="O47">
        <v>6.4</v>
      </c>
      <c r="P47">
        <f t="shared" si="7"/>
        <v>8576</v>
      </c>
    </row>
    <row r="48" ht="25" customHeight="1" spans="6:20">
      <c r="M48" t="s">
        <v>71</v>
      </c>
      <c r="N48">
        <v>63</v>
      </c>
      <c r="O48">
        <v>5.1</v>
      </c>
      <c r="P48">
        <f t="shared" si="7"/>
        <v>6426</v>
      </c>
    </row>
    <row r="49" ht="25" customHeight="1" spans="13:16">
      <c r="M49" t="s">
        <v>72</v>
      </c>
      <c r="N49">
        <v>2</v>
      </c>
      <c r="O49">
        <v>6.1</v>
      </c>
      <c r="P49">
        <f t="shared" si="7"/>
        <v>244</v>
      </c>
    </row>
    <row r="50" ht="25" customHeight="1"/>
    <row r="51" ht="25" customHeight="1"/>
    <row r="52" ht="25" customHeight="1"/>
    <row r="53" ht="25" customHeight="1"/>
    <row r="54" ht="25" customHeight="1"/>
    <row r="55" ht="25" customHeight="1"/>
  </sheetData>
  <mergeCells count="9">
    <mergeCell ref="F30:L30"/>
    <mergeCell ref="E2:E12"/>
    <mergeCell ref="E13:E14"/>
    <mergeCell ref="E16:E19"/>
    <mergeCell ref="N2:N12"/>
    <mergeCell ref="N13:N14"/>
    <mergeCell ref="N16:N19"/>
    <mergeCell ref="T26:T30"/>
    <mergeCell ref="T34:T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2025-02-24T13:48:00Z</dcterms:created>
  <dcterms:modified xsi:type="dcterms:W3CDTF">2026-04-10T01:39:29Z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2BFE46CA1D0C44DC8D308C7905B1DD7C_13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