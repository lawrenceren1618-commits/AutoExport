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;\-\$#,##0.00"/>
  </numFmts>
  <fonts count="22">
    <font>
      <name val="宋体"/>
      <charset val="134"/>
      <sz val="12"/>
    </font>
    <font>
      <name val="宋体"/>
      <charset val="134"/>
      <color indexed="8"/>
      <sz val="11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color indexed="8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4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1" applyAlignment="1" pivotButton="0" quotePrefix="0" xfId="0">
      <alignment vertical="center"/>
    </xf>
    <xf numFmtId="0" fontId="0" fillId="0" borderId="11" pivotButton="0" quotePrefix="0" xfId="0"/>
    <xf numFmtId="0" fontId="0" fillId="0" borderId="12" pivotButton="0" quotePrefix="0" xfId="0"/>
    <xf numFmtId="164" fontId="0" fillId="2" borderId="1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"/>
  <sheetViews>
    <sheetView tabSelected="1" workbookViewId="0">
      <pane xSplit="4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W18" sqref="W18"/>
    </sheetView>
  </sheetViews>
  <sheetFormatPr baseColWidth="8" defaultColWidth="9" defaultRowHeight="14.25"/>
  <cols>
    <col width="9.375" customWidth="1" style="15" min="1" max="1"/>
    <col width="9" customWidth="1" style="1" min="4" max="4"/>
    <col width="15.5" customWidth="1" style="2" min="5" max="5"/>
    <col width="16.375" customWidth="1" style="15" min="6" max="6"/>
    <col width="26.375" customWidth="1" style="15" min="7" max="7"/>
    <col width="8.875" customWidth="1" style="15" min="8" max="8"/>
    <col width="8.375" customWidth="1" style="15" min="9" max="9"/>
    <col width="9" customWidth="1" style="15" min="10" max="10"/>
    <col width="10.5" customWidth="1" style="15" min="11" max="11"/>
    <col width="11.5" customWidth="1" style="15" min="12" max="12"/>
    <col width="10.5" customWidth="1" style="15" min="13" max="13"/>
    <col width="9.25" customWidth="1" style="15" min="15" max="15"/>
    <col width="10.125" customWidth="1" style="2" min="16" max="16"/>
    <col width="14.25" customWidth="1" style="2" min="17" max="17"/>
    <col width="15" customWidth="1" style="15" min="18" max="18"/>
    <col width="22.75" customWidth="1" style="15" min="19" max="19"/>
    <col width="8.375" customWidth="1" style="15" min="20" max="20"/>
    <col width="9.125" customWidth="1" style="15" min="21" max="21"/>
    <col width="8.75" customWidth="1" style="15" min="22" max="22"/>
    <col width="9.375" customWidth="1" style="15" min="23" max="23"/>
    <col width="11.5" customWidth="1" style="15" min="24" max="24"/>
  </cols>
  <sheetData>
    <row r="1" ht="63" customHeight="1" s="15">
      <c r="A1" s="4" t="inlineStr">
        <is>
          <t>店铺/品牌/克重</t>
        </is>
      </c>
      <c r="B1" s="4" t="inlineStr">
        <is>
          <t>条数</t>
        </is>
      </c>
      <c r="C1" s="4" t="inlineStr">
        <is>
          <t>尺寸</t>
        </is>
      </c>
      <c r="D1" s="4" t="inlineStr">
        <is>
          <t>颜色</t>
        </is>
      </c>
      <c r="E1" s="9" t="inlineStr">
        <is>
          <t>FNSKU</t>
        </is>
      </c>
      <c r="F1" s="4" t="inlineStr">
        <is>
          <t>内包装尺寸</t>
        </is>
      </c>
      <c r="G1" s="4" t="inlineStr">
        <is>
          <t>外箱尺寸</t>
        </is>
      </c>
      <c r="H1" s="4" t="inlineStr">
        <is>
          <t>包数/箱</t>
        </is>
      </c>
      <c r="I1" s="4" t="inlineStr">
        <is>
          <t>每箱净重/KG</t>
        </is>
      </c>
      <c r="J1" s="4" t="inlineStr">
        <is>
          <t>每箱毛重/KG</t>
        </is>
      </c>
      <c r="K1" s="6" t="inlineStr">
        <is>
          <t>1039每箱报关单价/箱</t>
        </is>
      </c>
      <c r="L1" s="4" t="inlineStr">
        <is>
          <t>海关申报编码</t>
        </is>
      </c>
      <c r="M1" s="4" t="inlineStr">
        <is>
          <t>克重</t>
        </is>
      </c>
      <c r="N1" s="4" t="inlineStr">
        <is>
          <t>条数</t>
        </is>
      </c>
      <c r="O1" s="4" t="inlineStr">
        <is>
          <t>尺寸</t>
        </is>
      </c>
      <c r="P1" s="9" t="inlineStr">
        <is>
          <t>颜色</t>
        </is>
      </c>
      <c r="Q1" s="9" t="inlineStr">
        <is>
          <t>FNSKU</t>
        </is>
      </c>
      <c r="R1" s="4" t="inlineStr">
        <is>
          <t>内包装尺寸</t>
        </is>
      </c>
      <c r="S1" s="4" t="inlineStr">
        <is>
          <t>外箱尺寸</t>
        </is>
      </c>
      <c r="T1" s="4" t="inlineStr">
        <is>
          <t>包数/箱</t>
        </is>
      </c>
      <c r="U1" s="6" t="inlineStr">
        <is>
          <t>每箱毛重/KG</t>
        </is>
      </c>
      <c r="V1" s="6" t="inlineStr">
        <is>
          <t>每箱净重/KG</t>
        </is>
      </c>
      <c r="W1" s="6" t="inlineStr">
        <is>
          <t>1039报关单价/箱</t>
        </is>
      </c>
      <c r="X1" s="4" t="inlineStr">
        <is>
          <t>海关申报编码</t>
        </is>
      </c>
    </row>
    <row r="2" ht="25" customHeight="1" s="15">
      <c r="A2" s="7" t="inlineStr">
        <is>
          <t>C04-畅选WIGENIUS-90克每平方米
102,126,90圆为主要变体</t>
        </is>
      </c>
      <c r="B2" s="9" t="n">
        <v>2</v>
      </c>
      <c r="C2" s="9" t="n">
        <v>84</v>
      </c>
      <c r="D2" s="4" t="inlineStr">
        <is>
          <t>白</t>
        </is>
      </c>
      <c r="E2" s="9" t="inlineStr">
        <is>
          <t>X004W0WH4R</t>
        </is>
      </c>
      <c r="F2" s="4" t="inlineStr">
        <is>
          <t>热缩膜</t>
        </is>
      </c>
      <c r="G2" s="4" t="inlineStr">
        <is>
          <t>纸箱规格：57*40*33cm</t>
        </is>
      </c>
      <c r="H2" s="4" t="n">
        <v>24</v>
      </c>
      <c r="I2" s="4" t="n">
        <v>14.05</v>
      </c>
      <c r="J2" s="4" t="n">
        <v>15.47</v>
      </c>
      <c r="K2" s="16">
        <f>9.99*0.4*H2</f>
        <v/>
      </c>
      <c r="L2" s="4" t="n">
        <v>6302539090</v>
      </c>
      <c r="M2" s="7" t="inlineStr">
        <is>
          <t>C07-易尚-Dressmaker-90克每平方米
120,90圆，102为主要变体</t>
        </is>
      </c>
      <c r="N2" s="9" t="n">
        <v>2</v>
      </c>
      <c r="O2" s="4" t="n">
        <v>84</v>
      </c>
      <c r="P2" s="9" t="inlineStr">
        <is>
          <t>白</t>
        </is>
      </c>
      <c r="Q2" s="9" t="inlineStr">
        <is>
          <t>X0054J35F5</t>
        </is>
      </c>
      <c r="R2" s="4" t="inlineStr">
        <is>
          <t>热缩膜</t>
        </is>
      </c>
      <c r="S2" s="4" t="inlineStr">
        <is>
          <t>纸箱规格：57*40*33cm</t>
        </is>
      </c>
      <c r="T2" s="4" t="n">
        <v>24</v>
      </c>
      <c r="U2" s="4" t="n">
        <v>14.05</v>
      </c>
      <c r="V2" s="4" t="n">
        <v>15.47</v>
      </c>
      <c r="W2" s="16">
        <f>9.99*0.4*T2</f>
        <v/>
      </c>
      <c r="X2" s="4" t="n">
        <v>6302539090</v>
      </c>
    </row>
    <row r="3" ht="25" customHeight="1" s="15">
      <c r="A3" s="17" t="n"/>
      <c r="B3" s="17" t="n"/>
      <c r="C3" s="17" t="n"/>
      <c r="D3" s="4" t="inlineStr">
        <is>
          <t>黑</t>
        </is>
      </c>
      <c r="E3" s="9" t="inlineStr">
        <is>
          <t>X004W0Y91V</t>
        </is>
      </c>
      <c r="F3" s="4" t="inlineStr">
        <is>
          <t>热缩膜</t>
        </is>
      </c>
      <c r="G3" s="4" t="inlineStr">
        <is>
          <t>纸箱规格：57*40*33cm</t>
        </is>
      </c>
      <c r="H3" s="4" t="n">
        <v>24</v>
      </c>
      <c r="I3" s="4" t="n">
        <v>14.05</v>
      </c>
      <c r="J3" s="4" t="n">
        <v>15.47</v>
      </c>
      <c r="K3" s="16">
        <f>11.99*0.4*H3</f>
        <v/>
      </c>
      <c r="L3" s="4" t="n">
        <v>6302539090</v>
      </c>
      <c r="M3" s="17" t="n"/>
      <c r="N3" s="17" t="n"/>
      <c r="O3" s="9" t="n">
        <v>102</v>
      </c>
      <c r="P3" s="9" t="inlineStr">
        <is>
          <t>白</t>
        </is>
      </c>
      <c r="Q3" s="9" t="inlineStr">
        <is>
          <t>X004SJWP35</t>
        </is>
      </c>
      <c r="R3" s="4" t="inlineStr">
        <is>
          <t>热缩膜</t>
        </is>
      </c>
      <c r="S3" s="4" t="inlineStr">
        <is>
          <t>纸箱规格：57*40*33cm</t>
        </is>
      </c>
      <c r="T3" s="4" t="n">
        <v>22</v>
      </c>
      <c r="U3" s="4" t="n">
        <v>15.64</v>
      </c>
      <c r="V3" s="4" t="n">
        <v>17.02</v>
      </c>
      <c r="W3" s="16">
        <f>11.99*0.4*T3</f>
        <v/>
      </c>
      <c r="X3" s="4" t="n">
        <v>6302539090</v>
      </c>
    </row>
    <row r="4" ht="25" customHeight="1" s="15">
      <c r="A4" s="17" t="n"/>
      <c r="B4" s="17" t="n"/>
      <c r="C4" s="18" t="n"/>
      <c r="D4" s="4" t="inlineStr">
        <is>
          <t>米白</t>
        </is>
      </c>
      <c r="E4" s="9" t="inlineStr">
        <is>
          <t>X004W0XBDX</t>
        </is>
      </c>
      <c r="F4" s="4" t="inlineStr">
        <is>
          <t>热缩膜</t>
        </is>
      </c>
      <c r="G4" s="4" t="inlineStr">
        <is>
          <t>纸箱规格：57*40*33cm</t>
        </is>
      </c>
      <c r="H4" s="4" t="n">
        <v>24</v>
      </c>
      <c r="I4" s="4" t="n">
        <v>14.05</v>
      </c>
      <c r="J4" s="4" t="n">
        <v>15.47</v>
      </c>
      <c r="K4" s="16">
        <f>11.99*0.4*H4</f>
        <v/>
      </c>
      <c r="L4" s="4" t="n">
        <v>6302539090</v>
      </c>
      <c r="M4" s="17" t="n"/>
      <c r="N4" s="17" t="n"/>
      <c r="O4" s="17" t="n"/>
      <c r="P4" s="9" t="inlineStr">
        <is>
          <t>黑</t>
        </is>
      </c>
      <c r="Q4" s="9" t="inlineStr">
        <is>
          <t>X004SJTZQ5</t>
        </is>
      </c>
      <c r="R4" s="4" t="inlineStr">
        <is>
          <t>热缩膜</t>
        </is>
      </c>
      <c r="S4" s="4" t="inlineStr">
        <is>
          <t>纸箱规格：57*40*33cm</t>
        </is>
      </c>
      <c r="T4" s="4" t="n">
        <v>22</v>
      </c>
      <c r="U4" s="4" t="n">
        <v>15.64</v>
      </c>
      <c r="V4" s="4" t="n">
        <v>17.02</v>
      </c>
      <c r="W4" s="16">
        <f>14.99*0.4*T4</f>
        <v/>
      </c>
      <c r="X4" s="4" t="n">
        <v>6302539090</v>
      </c>
    </row>
    <row r="5" ht="25" customHeight="1" s="15">
      <c r="A5" s="17" t="n"/>
      <c r="B5" s="17" t="n"/>
      <c r="C5" s="9" t="n">
        <v>102</v>
      </c>
      <c r="D5" s="4" t="inlineStr">
        <is>
          <t>白</t>
        </is>
      </c>
      <c r="E5" s="9" t="inlineStr">
        <is>
          <t>X004P19089</t>
        </is>
      </c>
      <c r="F5" s="4" t="inlineStr">
        <is>
          <t>热缩膜</t>
        </is>
      </c>
      <c r="G5" s="4" t="inlineStr">
        <is>
          <t>纸箱规格：57*40*33cm</t>
        </is>
      </c>
      <c r="H5" s="4" t="n">
        <v>22</v>
      </c>
      <c r="I5" s="4" t="n">
        <v>15.64</v>
      </c>
      <c r="J5" s="4" t="n">
        <v>17.02</v>
      </c>
      <c r="K5" s="16">
        <f>11.99*0.4*H5</f>
        <v/>
      </c>
      <c r="L5" s="4" t="n">
        <v>6302539090</v>
      </c>
      <c r="M5" s="17" t="n"/>
      <c r="N5" s="17" t="n"/>
      <c r="O5" s="18" t="n"/>
      <c r="P5" s="9" t="inlineStr">
        <is>
          <t>米白</t>
        </is>
      </c>
      <c r="Q5" s="9" t="inlineStr">
        <is>
          <t>X00510PW17</t>
        </is>
      </c>
      <c r="R5" s="4" t="inlineStr">
        <is>
          <t>热缩膜</t>
        </is>
      </c>
      <c r="S5" s="4" t="inlineStr">
        <is>
          <t>纸箱规格：57*40*33cm</t>
        </is>
      </c>
      <c r="T5" s="4" t="n">
        <v>22</v>
      </c>
      <c r="U5" s="4" t="n">
        <v>15.64</v>
      </c>
      <c r="V5" s="4" t="n">
        <v>17.02</v>
      </c>
      <c r="W5" s="16">
        <f>14.99*0.4*T5</f>
        <v/>
      </c>
      <c r="X5" s="4" t="n">
        <v>6302539090</v>
      </c>
    </row>
    <row r="6" ht="25" customHeight="1" s="15">
      <c r="A6" s="17" t="n"/>
      <c r="B6" s="17" t="n"/>
      <c r="C6" s="17" t="n"/>
      <c r="D6" s="4" t="inlineStr">
        <is>
          <t>黑</t>
        </is>
      </c>
      <c r="E6" s="9" t="inlineStr">
        <is>
          <t>X004W0WEIV</t>
        </is>
      </c>
      <c r="F6" s="4" t="inlineStr">
        <is>
          <t>热缩膜</t>
        </is>
      </c>
      <c r="G6" s="4" t="inlineStr">
        <is>
          <t>纸箱规格：57*40*33cm</t>
        </is>
      </c>
      <c r="H6" s="4" t="n">
        <v>22</v>
      </c>
      <c r="I6" s="4" t="n">
        <v>15.64</v>
      </c>
      <c r="J6" s="4" t="n">
        <v>17.02</v>
      </c>
      <c r="K6" s="16">
        <f>14.99*0.4*H6</f>
        <v/>
      </c>
      <c r="L6" s="4" t="n">
        <v>6302539090</v>
      </c>
      <c r="M6" s="17" t="n"/>
      <c r="N6" s="17" t="n"/>
      <c r="O6" s="9" t="n">
        <v>126</v>
      </c>
      <c r="P6" s="9" t="inlineStr">
        <is>
          <t>白</t>
        </is>
      </c>
      <c r="Q6" s="9" t="n"/>
      <c r="R6" s="4" t="n"/>
      <c r="S6" s="4" t="n"/>
      <c r="T6" s="4" t="n"/>
      <c r="U6" s="4" t="n"/>
      <c r="V6" s="4" t="n"/>
      <c r="W6" s="16" t="n"/>
      <c r="X6" s="4" t="n">
        <v>6302539090</v>
      </c>
    </row>
    <row r="7" ht="25" customHeight="1" s="15">
      <c r="A7" s="17" t="n"/>
      <c r="B7" s="17" t="n"/>
      <c r="C7" s="17" t="n"/>
      <c r="D7" s="4" t="inlineStr">
        <is>
          <t>蓝</t>
        </is>
      </c>
      <c r="E7" s="9" t="inlineStr">
        <is>
          <t>X0050V6V4J</t>
        </is>
      </c>
      <c r="F7" s="4" t="inlineStr">
        <is>
          <t>热缩膜</t>
        </is>
      </c>
      <c r="G7" s="4" t="inlineStr">
        <is>
          <t>纸箱规格：57*40*33cm</t>
        </is>
      </c>
      <c r="H7" s="4" t="n">
        <v>22</v>
      </c>
      <c r="I7" s="4" t="n">
        <v>15.64</v>
      </c>
      <c r="J7" s="4" t="n">
        <v>17.02</v>
      </c>
      <c r="K7" s="16">
        <f>14.99*0.4*H7</f>
        <v/>
      </c>
      <c r="L7" s="4" t="n">
        <v>6302539090</v>
      </c>
      <c r="M7" s="17" t="n"/>
      <c r="N7" s="17" t="n"/>
      <c r="O7" s="9" t="n">
        <v>120</v>
      </c>
      <c r="P7" s="9" t="inlineStr">
        <is>
          <t>白</t>
        </is>
      </c>
      <c r="Q7" s="9" t="inlineStr">
        <is>
          <t>X00510JHF9</t>
        </is>
      </c>
      <c r="R7" s="4" t="inlineStr">
        <is>
          <t>热缩膜</t>
        </is>
      </c>
      <c r="S7" s="4" t="inlineStr">
        <is>
          <t>纸箱规格：57*40*33cm</t>
        </is>
      </c>
      <c r="T7" s="4" t="n">
        <v>15</v>
      </c>
      <c r="U7" s="4" t="n">
        <v>14.63</v>
      </c>
      <c r="V7" s="4" t="n">
        <v>15.99</v>
      </c>
      <c r="W7" s="16">
        <f>14.99*0.5*T7</f>
        <v/>
      </c>
      <c r="X7" s="4" t="n">
        <v>6302539090</v>
      </c>
    </row>
    <row r="8" ht="25" customHeight="1" s="15">
      <c r="A8" s="17" t="n"/>
      <c r="B8" s="17" t="n"/>
      <c r="C8" s="18" t="n"/>
      <c r="D8" s="4" t="inlineStr">
        <is>
          <t>米白</t>
        </is>
      </c>
      <c r="E8" s="9" t="inlineStr">
        <is>
          <t>X004W0WH51</t>
        </is>
      </c>
      <c r="F8" s="4" t="inlineStr">
        <is>
          <t>热缩膜</t>
        </is>
      </c>
      <c r="G8" s="4" t="inlineStr">
        <is>
          <t>纸箱规格：57*40*33cm</t>
        </is>
      </c>
      <c r="H8" s="4" t="n">
        <v>22</v>
      </c>
      <c r="I8" s="4" t="n">
        <v>15.64</v>
      </c>
      <c r="J8" s="4" t="n">
        <v>17.02</v>
      </c>
      <c r="K8" s="16">
        <f>14.99*0.4*H8</f>
        <v/>
      </c>
      <c r="L8" s="4" t="n">
        <v>6302539090</v>
      </c>
      <c r="M8" s="17" t="n"/>
      <c r="N8" s="17" t="n"/>
      <c r="O8" s="17" t="n"/>
      <c r="P8" s="9" t="inlineStr">
        <is>
          <t>黑</t>
        </is>
      </c>
      <c r="Q8" s="9" t="inlineStr">
        <is>
          <t>X00510JH09</t>
        </is>
      </c>
      <c r="R8" s="4" t="inlineStr">
        <is>
          <t>热缩膜</t>
        </is>
      </c>
      <c r="S8" s="4" t="inlineStr">
        <is>
          <t>纸箱规格：57*40*33cm</t>
        </is>
      </c>
      <c r="T8" s="4" t="n">
        <v>15</v>
      </c>
      <c r="U8" s="4" t="n">
        <v>14.63</v>
      </c>
      <c r="V8" s="4" t="n">
        <v>15.99</v>
      </c>
      <c r="W8" s="16">
        <f>18.99*0.5*T8</f>
        <v/>
      </c>
      <c r="X8" s="4" t="n">
        <v>6302539090</v>
      </c>
    </row>
    <row r="9" ht="25" customHeight="1" s="15">
      <c r="A9" s="17" t="n"/>
      <c r="B9" s="17" t="n"/>
      <c r="C9" s="9" t="n">
        <v>126</v>
      </c>
      <c r="D9" s="4" t="inlineStr">
        <is>
          <t>白</t>
        </is>
      </c>
      <c r="E9" s="9" t="inlineStr">
        <is>
          <t>X005398X17</t>
        </is>
      </c>
      <c r="F9" s="4" t="inlineStr">
        <is>
          <t>热缩膜</t>
        </is>
      </c>
      <c r="G9" s="4" t="inlineStr">
        <is>
          <t>纸箱规格：57*40*33cm</t>
        </is>
      </c>
      <c r="H9" s="4" t="n">
        <v>18</v>
      </c>
      <c r="I9" s="4" t="n">
        <v>15.8</v>
      </c>
      <c r="J9" s="4" t="n">
        <v>17.3</v>
      </c>
      <c r="K9" s="16">
        <f>16.99*0.5*H9</f>
        <v/>
      </c>
      <c r="L9" s="4" t="n">
        <v>6302539090</v>
      </c>
      <c r="M9" s="17" t="n"/>
      <c r="N9" s="17" t="n"/>
      <c r="O9" s="18" t="n"/>
      <c r="P9" s="9" t="inlineStr">
        <is>
          <t>米白</t>
        </is>
      </c>
      <c r="Q9" s="9" t="inlineStr">
        <is>
          <t>X00510JHJZ</t>
        </is>
      </c>
      <c r="R9" s="4" t="inlineStr">
        <is>
          <t>热缩膜</t>
        </is>
      </c>
      <c r="S9" s="4" t="inlineStr">
        <is>
          <t>纸箱规格：57*40*33cm</t>
        </is>
      </c>
      <c r="T9" s="4" t="n">
        <v>15</v>
      </c>
      <c r="U9" s="4" t="n">
        <v>14.63</v>
      </c>
      <c r="V9" s="4" t="n">
        <v>15.99</v>
      </c>
      <c r="W9" s="16">
        <f>18.99*0.5*T9</f>
        <v/>
      </c>
      <c r="X9" s="4" t="n">
        <v>6302539090</v>
      </c>
    </row>
    <row r="10" ht="25" customHeight="1" s="15">
      <c r="A10" s="17" t="n"/>
      <c r="B10" s="17" t="n"/>
      <c r="C10" s="17" t="n"/>
      <c r="D10" s="4" t="inlineStr">
        <is>
          <t>黑</t>
        </is>
      </c>
      <c r="E10" s="9" t="inlineStr">
        <is>
          <t>X005395VTT</t>
        </is>
      </c>
      <c r="F10" s="4" t="inlineStr">
        <is>
          <t>热缩膜</t>
        </is>
      </c>
      <c r="G10" s="4" t="inlineStr">
        <is>
          <t>纸箱规格：57*40*33cm</t>
        </is>
      </c>
      <c r="H10" s="4" t="n">
        <v>18</v>
      </c>
      <c r="I10" s="4" t="n">
        <v>15.8</v>
      </c>
      <c r="J10" s="4" t="n">
        <v>17.3</v>
      </c>
      <c r="K10" s="16">
        <f>18.99*0.5*H10</f>
        <v/>
      </c>
      <c r="L10" s="4" t="n">
        <v>6302539090</v>
      </c>
      <c r="M10" s="17" t="n"/>
      <c r="N10" s="17" t="n"/>
      <c r="O10" s="9" t="inlineStr">
        <is>
          <t>90圆</t>
        </is>
      </c>
      <c r="P10" s="9" t="inlineStr">
        <is>
          <t>白</t>
        </is>
      </c>
      <c r="Q10" s="9" t="inlineStr">
        <is>
          <t>X00510W6RP</t>
        </is>
      </c>
      <c r="R10" s="4" t="inlineStr">
        <is>
          <t>热缩膜</t>
        </is>
      </c>
      <c r="S10" s="4" t="inlineStr">
        <is>
          <t>纸箱规格：57*40*33cm</t>
        </is>
      </c>
      <c r="T10" s="4" t="n">
        <v>20</v>
      </c>
      <c r="U10" s="4" t="n">
        <v>14.78</v>
      </c>
      <c r="V10" s="4" t="n">
        <v>15.84</v>
      </c>
      <c r="W10" s="16">
        <f>12.99*0.5*T10</f>
        <v/>
      </c>
      <c r="X10" s="4" t="n">
        <v>6302539090</v>
      </c>
    </row>
    <row r="11" ht="25" customHeight="1" s="15">
      <c r="A11" s="17" t="n"/>
      <c r="B11" s="17" t="n"/>
      <c r="C11" s="17" t="n"/>
      <c r="D11" s="4" t="inlineStr">
        <is>
          <t>蓝</t>
        </is>
      </c>
      <c r="E11" s="9" t="inlineStr">
        <is>
          <t>X0053992Z3</t>
        </is>
      </c>
      <c r="F11" s="4" t="inlineStr">
        <is>
          <t>热缩膜</t>
        </is>
      </c>
      <c r="G11" s="4" t="inlineStr">
        <is>
          <t>纸箱规格：57*40*33cm</t>
        </is>
      </c>
      <c r="H11" s="4" t="n">
        <v>18</v>
      </c>
      <c r="I11" s="4" t="n">
        <v>15.8</v>
      </c>
      <c r="J11" s="4" t="n">
        <v>17.3</v>
      </c>
      <c r="K11" s="16">
        <f>18.99*0.5*H11</f>
        <v/>
      </c>
      <c r="L11" s="4" t="n">
        <v>6302539090</v>
      </c>
      <c r="M11" s="17" t="n"/>
      <c r="N11" s="18" t="n"/>
      <c r="O11" s="18" t="n"/>
      <c r="P11" s="9" t="inlineStr">
        <is>
          <t>黑</t>
        </is>
      </c>
      <c r="Q11" s="9" t="inlineStr">
        <is>
          <t>X00510BIG5</t>
        </is>
      </c>
      <c r="R11" s="4" t="inlineStr">
        <is>
          <t>热缩膜</t>
        </is>
      </c>
      <c r="S11" s="4" t="inlineStr">
        <is>
          <t>纸箱规格：57*40*33cm</t>
        </is>
      </c>
      <c r="T11" s="4" t="n">
        <v>20</v>
      </c>
      <c r="U11" s="4" t="n">
        <v>14.78</v>
      </c>
      <c r="V11" s="4" t="n">
        <v>15.84</v>
      </c>
      <c r="W11" s="16">
        <f>14.99*0.5*T11</f>
        <v/>
      </c>
      <c r="X11" s="4" t="n">
        <v>6302539090</v>
      </c>
    </row>
    <row r="12" ht="25" customHeight="1" s="15">
      <c r="A12" s="17" t="n"/>
      <c r="B12" s="17" t="n"/>
      <c r="C12" s="18" t="n"/>
      <c r="D12" s="4" t="inlineStr">
        <is>
          <t>米白</t>
        </is>
      </c>
      <c r="E12" s="9" t="inlineStr">
        <is>
          <t>X005395PQ3</t>
        </is>
      </c>
      <c r="F12" s="4" t="inlineStr">
        <is>
          <t>热缩膜</t>
        </is>
      </c>
      <c r="G12" s="4" t="inlineStr">
        <is>
          <t>纸箱规格：57*40*33cm</t>
        </is>
      </c>
      <c r="H12" s="4" t="n">
        <v>18</v>
      </c>
      <c r="I12" s="4" t="n">
        <v>15.8</v>
      </c>
      <c r="J12" s="4" t="n">
        <v>17.3</v>
      </c>
      <c r="K12" s="16">
        <f>18.99*0.5*H12</f>
        <v/>
      </c>
      <c r="L12" s="4" t="n">
        <v>6302539090</v>
      </c>
      <c r="M12" s="17" t="n"/>
      <c r="N12" s="11" t="n"/>
      <c r="O12" s="11" t="n"/>
      <c r="P12" s="12" t="n"/>
      <c r="Q12" s="12" t="n"/>
      <c r="R12" s="11" t="n"/>
      <c r="S12" s="11" t="n"/>
      <c r="T12" s="11" t="n"/>
      <c r="U12" s="11" t="n"/>
      <c r="V12" s="11" t="n"/>
      <c r="W12" s="19" t="n"/>
      <c r="X12" s="4" t="n"/>
    </row>
    <row r="13" ht="25" customHeight="1" s="15">
      <c r="A13" s="17" t="n"/>
      <c r="B13" s="17" t="n"/>
      <c r="C13" s="9" t="n">
        <v>120</v>
      </c>
      <c r="D13" s="4" t="inlineStr">
        <is>
          <t>白</t>
        </is>
      </c>
      <c r="E13" s="9" t="inlineStr">
        <is>
          <t>X004W0XSZT</t>
        </is>
      </c>
      <c r="F13" s="4" t="inlineStr">
        <is>
          <t>热缩膜</t>
        </is>
      </c>
      <c r="G13" s="4" t="inlineStr">
        <is>
          <t>纸箱规格：57*40*33cm</t>
        </is>
      </c>
      <c r="H13" s="4" t="n">
        <v>15</v>
      </c>
      <c r="I13" s="4" t="n">
        <v>14.63</v>
      </c>
      <c r="J13" s="4" t="n">
        <v>15.99</v>
      </c>
      <c r="K13" s="16">
        <f>14.99*0.5*H13</f>
        <v/>
      </c>
      <c r="L13" s="4" t="n">
        <v>6302539090</v>
      </c>
      <c r="M13" s="17" t="n"/>
      <c r="N13" s="9" t="n">
        <v>6</v>
      </c>
      <c r="O13" s="4" t="n">
        <v>84</v>
      </c>
      <c r="P13" s="9" t="inlineStr">
        <is>
          <t>白</t>
        </is>
      </c>
      <c r="Q13" s="9" t="inlineStr">
        <is>
          <t>X004SJPZXH</t>
        </is>
      </c>
      <c r="R13" s="4" t="inlineStr">
        <is>
          <t>热缩膜</t>
        </is>
      </c>
      <c r="S13" s="4" t="inlineStr">
        <is>
          <t>纸箱规格：57*40*33cm</t>
        </is>
      </c>
      <c r="T13" s="4" t="n">
        <v>8</v>
      </c>
      <c r="U13" s="4" t="n">
        <v>14.05</v>
      </c>
      <c r="V13" s="4" t="n">
        <v>15.31</v>
      </c>
      <c r="W13" s="16">
        <f>19.99*0.5*T13</f>
        <v/>
      </c>
      <c r="X13" s="4" t="n">
        <v>6302539090</v>
      </c>
    </row>
    <row r="14" ht="25" customHeight="1" s="15">
      <c r="A14" s="17" t="n"/>
      <c r="B14" s="17" t="n"/>
      <c r="C14" s="17" t="n"/>
      <c r="D14" s="4" t="inlineStr">
        <is>
          <t>黑</t>
        </is>
      </c>
      <c r="E14" s="9" t="inlineStr">
        <is>
          <t>X004W0XBE7</t>
        </is>
      </c>
      <c r="F14" s="4" t="inlineStr">
        <is>
          <t>热缩膜</t>
        </is>
      </c>
      <c r="G14" s="4" t="inlineStr">
        <is>
          <t>纸箱规格：57*40*33cm</t>
        </is>
      </c>
      <c r="H14" s="4" t="n">
        <v>15</v>
      </c>
      <c r="I14" s="4" t="n">
        <v>14.63</v>
      </c>
      <c r="J14" s="4" t="n">
        <v>15.99</v>
      </c>
      <c r="K14" s="16">
        <f>18.99*0.5*H14</f>
        <v/>
      </c>
      <c r="L14" s="4" t="n">
        <v>6302539090</v>
      </c>
      <c r="M14" s="17" t="n"/>
      <c r="N14" s="17" t="n"/>
      <c r="O14" s="9" t="n">
        <v>102</v>
      </c>
      <c r="P14" s="9" t="inlineStr">
        <is>
          <t>白</t>
        </is>
      </c>
      <c r="Q14" s="9" t="inlineStr">
        <is>
          <t>X004SJYYGB</t>
        </is>
      </c>
      <c r="R14" s="4" t="inlineStr">
        <is>
          <t>热缩膜</t>
        </is>
      </c>
      <c r="S14" s="4" t="inlineStr">
        <is>
          <t>纸箱规格：57*40*33cm</t>
        </is>
      </c>
      <c r="T14" s="4" t="n">
        <v>9</v>
      </c>
      <c r="U14" s="4" t="n">
        <v>19.19</v>
      </c>
      <c r="V14" s="4" t="n">
        <v>20.55</v>
      </c>
      <c r="W14" s="16">
        <f>26.99*0.48*T14</f>
        <v/>
      </c>
      <c r="X14" s="4" t="n">
        <v>6302539090</v>
      </c>
    </row>
    <row r="15" ht="25" customHeight="1" s="15">
      <c r="A15" s="17" t="n"/>
      <c r="B15" s="17" t="n"/>
      <c r="C15" s="17" t="n"/>
      <c r="D15" s="4" t="inlineStr">
        <is>
          <t>蓝</t>
        </is>
      </c>
      <c r="E15" s="9" t="inlineStr">
        <is>
          <t>X0050TKMRD</t>
        </is>
      </c>
      <c r="F15" s="4" t="inlineStr">
        <is>
          <t>热缩膜</t>
        </is>
      </c>
      <c r="G15" s="4" t="inlineStr">
        <is>
          <t>纸箱规格：57*40*33cm</t>
        </is>
      </c>
      <c r="H15" s="4" t="n">
        <v>15</v>
      </c>
      <c r="I15" s="4" t="n">
        <v>14.63</v>
      </c>
      <c r="J15" s="4" t="n">
        <v>15.99</v>
      </c>
      <c r="K15" s="16">
        <f>18.99*0.5*H15</f>
        <v/>
      </c>
      <c r="L15" s="4" t="n">
        <v>6302539090</v>
      </c>
      <c r="M15" s="17" t="n"/>
      <c r="N15" s="17" t="n"/>
      <c r="O15" s="17" t="n"/>
      <c r="P15" s="9" t="inlineStr">
        <is>
          <t>黑</t>
        </is>
      </c>
      <c r="Q15" s="9" t="inlineStr">
        <is>
          <t>X004SJPTVF</t>
        </is>
      </c>
      <c r="R15" s="4" t="inlineStr">
        <is>
          <t>热缩膜</t>
        </is>
      </c>
      <c r="S15" s="4" t="inlineStr">
        <is>
          <t>纸箱规格：57*40*33cm</t>
        </is>
      </c>
      <c r="T15" s="4" t="n">
        <v>9</v>
      </c>
      <c r="U15" s="4" t="n">
        <v>19.19</v>
      </c>
      <c r="V15" s="4" t="n">
        <v>20.55</v>
      </c>
      <c r="W15" s="16">
        <f>29.99*0.56*T15</f>
        <v/>
      </c>
      <c r="X15" s="4" t="n">
        <v>6302539090</v>
      </c>
    </row>
    <row r="16" ht="25" customHeight="1" s="15">
      <c r="A16" s="17" t="n"/>
      <c r="B16" s="17" t="n"/>
      <c r="C16" s="18" t="n"/>
      <c r="D16" s="4" t="inlineStr">
        <is>
          <t>米白</t>
        </is>
      </c>
      <c r="E16" s="9" t="inlineStr">
        <is>
          <t>X004W0WH4H</t>
        </is>
      </c>
      <c r="F16" s="4" t="inlineStr">
        <is>
          <t>热缩膜</t>
        </is>
      </c>
      <c r="G16" s="4" t="inlineStr">
        <is>
          <t>纸箱规格：57*40*33cm</t>
        </is>
      </c>
      <c r="H16" s="4" t="n">
        <v>15</v>
      </c>
      <c r="I16" s="4" t="n">
        <v>14.63</v>
      </c>
      <c r="J16" s="4" t="n">
        <v>15.99</v>
      </c>
      <c r="K16" s="16">
        <f>18.99*0.5*H16</f>
        <v/>
      </c>
      <c r="L16" s="4" t="n">
        <v>6302539090</v>
      </c>
      <c r="M16" s="17" t="n"/>
      <c r="N16" s="17" t="n"/>
      <c r="O16" s="18" t="n"/>
      <c r="P16" s="9" t="inlineStr">
        <is>
          <t>米白</t>
        </is>
      </c>
      <c r="Q16" s="9" t="inlineStr">
        <is>
          <t>X00510R6AH</t>
        </is>
      </c>
      <c r="R16" s="4" t="inlineStr">
        <is>
          <t>热缩膜</t>
        </is>
      </c>
      <c r="S16" s="4" t="inlineStr">
        <is>
          <t>纸箱规格：57*40*33cm</t>
        </is>
      </c>
      <c r="T16" s="4" t="n">
        <v>9</v>
      </c>
      <c r="U16" s="4" t="n">
        <v>19.19</v>
      </c>
      <c r="V16" s="4" t="n">
        <v>20.55</v>
      </c>
      <c r="W16" s="16">
        <f>29.99*0.56*T16</f>
        <v/>
      </c>
      <c r="X16" s="4" t="n">
        <v>6302539090</v>
      </c>
    </row>
    <row r="17" ht="25" customHeight="1" s="15">
      <c r="A17" s="17" t="n"/>
      <c r="B17" s="17" t="n"/>
      <c r="C17" s="9" t="inlineStr">
        <is>
          <t>90圆</t>
        </is>
      </c>
      <c r="D17" s="4" t="inlineStr">
        <is>
          <t>白</t>
        </is>
      </c>
      <c r="E17" s="9" t="inlineStr">
        <is>
          <t>X004W0XBDN</t>
        </is>
      </c>
      <c r="F17" s="4" t="inlineStr">
        <is>
          <t>热缩膜</t>
        </is>
      </c>
      <c r="G17" s="4" t="inlineStr">
        <is>
          <t>纸箱规格：57*40*33cm</t>
        </is>
      </c>
      <c r="H17" s="4" t="n">
        <v>20</v>
      </c>
      <c r="I17" s="4" t="n">
        <v>14.78</v>
      </c>
      <c r="J17" s="4" t="n">
        <v>15.84</v>
      </c>
      <c r="K17" s="16">
        <f>12.99*0.5*H17</f>
        <v/>
      </c>
      <c r="L17" s="4" t="n">
        <v>6302539090</v>
      </c>
      <c r="M17" s="17" t="n"/>
      <c r="N17" s="17" t="n"/>
      <c r="O17" s="9" t="n">
        <v>126</v>
      </c>
      <c r="P17" s="9" t="inlineStr">
        <is>
          <t>白</t>
        </is>
      </c>
      <c r="Q17" s="9" t="inlineStr">
        <is>
          <t>X004SJV9UP</t>
        </is>
      </c>
      <c r="R17" s="6" t="inlineStr">
        <is>
          <t>内盒 28*23*18</t>
        </is>
      </c>
      <c r="S17" s="4" t="inlineStr">
        <is>
          <t>纸箱规格：57*48*30cm</t>
        </is>
      </c>
      <c r="T17" s="4" t="n">
        <v>6</v>
      </c>
      <c r="U17" s="4" t="n">
        <v>15.8</v>
      </c>
      <c r="V17" s="4" t="n">
        <v>18</v>
      </c>
      <c r="W17" s="16">
        <f>34.99*0.55*T17</f>
        <v/>
      </c>
      <c r="X17" s="4" t="n">
        <v>6302539090</v>
      </c>
    </row>
    <row r="18" ht="25" customHeight="1" s="15">
      <c r="A18" s="17" t="n"/>
      <c r="B18" s="17" t="n"/>
      <c r="C18" s="17" t="n"/>
      <c r="D18" s="4" t="inlineStr">
        <is>
          <t>黑</t>
        </is>
      </c>
      <c r="E18" s="9" t="inlineStr">
        <is>
          <t>X004W0Y925</t>
        </is>
      </c>
      <c r="F18" s="4" t="inlineStr">
        <is>
          <t>热缩膜</t>
        </is>
      </c>
      <c r="G18" s="4" t="inlineStr">
        <is>
          <t>纸箱规格：57*40*33cm</t>
        </is>
      </c>
      <c r="H18" s="4" t="n">
        <v>20</v>
      </c>
      <c r="I18" s="4" t="n">
        <v>14.78</v>
      </c>
      <c r="J18" s="4" t="n">
        <v>15.84</v>
      </c>
      <c r="K18" s="16">
        <f>14.99*0.5*H18</f>
        <v/>
      </c>
      <c r="L18" s="4" t="n">
        <v>6302539090</v>
      </c>
      <c r="M18" s="17" t="n"/>
      <c r="N18" s="17" t="n"/>
      <c r="O18" s="18" t="n"/>
      <c r="P18" s="9" t="inlineStr">
        <is>
          <t>米白</t>
        </is>
      </c>
      <c r="Q18" s="9" t="inlineStr">
        <is>
          <t>X0057068YB</t>
        </is>
      </c>
      <c r="R18" s="6" t="inlineStr">
        <is>
          <t>内盒 28*23*18</t>
        </is>
      </c>
      <c r="S18" s="4" t="inlineStr">
        <is>
          <t>纸箱规格：57*48*30cm</t>
        </is>
      </c>
      <c r="T18" s="4" t="n">
        <v>6</v>
      </c>
      <c r="U18" s="4" t="n">
        <v>15.8</v>
      </c>
      <c r="V18" s="4" t="n">
        <v>18</v>
      </c>
      <c r="W18" s="16">
        <f>34.99*0.65*T18</f>
        <v/>
      </c>
      <c r="X18" s="4" t="n">
        <v>6302539090</v>
      </c>
    </row>
    <row r="19" ht="25" customHeight="1" s="15">
      <c r="A19" s="17" t="n"/>
      <c r="B19" s="17" t="n"/>
      <c r="C19" s="17" t="n"/>
      <c r="D19" s="4" t="inlineStr">
        <is>
          <t>蓝</t>
        </is>
      </c>
      <c r="E19" s="9" t="inlineStr">
        <is>
          <t>X0050TRZZZ</t>
        </is>
      </c>
      <c r="F19" s="4" t="inlineStr">
        <is>
          <t>热缩膜</t>
        </is>
      </c>
      <c r="G19" s="4" t="inlineStr">
        <is>
          <t>纸箱规格：57*40*33cm</t>
        </is>
      </c>
      <c r="H19" s="4" t="n">
        <v>20</v>
      </c>
      <c r="I19" s="4" t="n">
        <v>14.78</v>
      </c>
      <c r="J19" s="4" t="n">
        <v>15.84</v>
      </c>
      <c r="K19" s="16">
        <f>14.99*0.5*H19</f>
        <v/>
      </c>
      <c r="L19" s="4" t="n">
        <v>6302539090</v>
      </c>
      <c r="M19" s="17" t="n"/>
      <c r="N19" s="17" t="n"/>
      <c r="O19" s="9" t="n"/>
      <c r="P19" s="9" t="n"/>
      <c r="Q19" s="9" t="n"/>
      <c r="R19" s="4" t="n"/>
      <c r="S19" s="4" t="n"/>
      <c r="T19" s="4" t="n"/>
      <c r="U19" s="4" t="n"/>
      <c r="V19" s="4" t="n"/>
      <c r="W19" s="16" t="n"/>
      <c r="X19" s="4" t="n">
        <v>6302539090</v>
      </c>
    </row>
    <row r="20" ht="25" customHeight="1" s="15">
      <c r="A20" s="17" t="n"/>
      <c r="B20" s="18" t="n"/>
      <c r="C20" s="18" t="n"/>
      <c r="D20" s="4" t="inlineStr">
        <is>
          <t>米白</t>
        </is>
      </c>
      <c r="E20" s="9" t="inlineStr">
        <is>
          <t>X004W0Y28V</t>
        </is>
      </c>
      <c r="F20" s="4" t="inlineStr">
        <is>
          <t>热缩膜</t>
        </is>
      </c>
      <c r="G20" s="4" t="inlineStr">
        <is>
          <t>纸箱规格：57*40*33cm</t>
        </is>
      </c>
      <c r="H20" s="4" t="n">
        <v>20</v>
      </c>
      <c r="I20" s="4" t="n">
        <v>14.78</v>
      </c>
      <c r="J20" s="4" t="n">
        <v>15.84</v>
      </c>
      <c r="K20" s="16">
        <f>14.99*0.5*H20</f>
        <v/>
      </c>
      <c r="L20" s="4" t="n">
        <v>6302539090</v>
      </c>
      <c r="M20" s="17" t="n"/>
      <c r="N20" s="17" t="n"/>
      <c r="O20" s="9" t="n">
        <v>120</v>
      </c>
      <c r="P20" s="9" t="inlineStr">
        <is>
          <t>白</t>
        </is>
      </c>
      <c r="Q20" s="9" t="inlineStr">
        <is>
          <t>X0051BEQ8L</t>
        </is>
      </c>
      <c r="R20" s="14" t="inlineStr">
        <is>
          <t>热缩膜包装</t>
        </is>
      </c>
      <c r="S20" s="14" t="inlineStr">
        <is>
          <t>纸箱57*40*33</t>
        </is>
      </c>
      <c r="T20" s="4" t="n">
        <v>5</v>
      </c>
      <c r="U20" s="4" t="n">
        <v>14.63</v>
      </c>
      <c r="V20" s="4" t="n">
        <v>16.06</v>
      </c>
      <c r="W20" s="16">
        <f>36.99*0.6*T20</f>
        <v/>
      </c>
      <c r="X20" s="4" t="n">
        <v>6302539090</v>
      </c>
    </row>
    <row r="21" ht="25" customHeight="1" s="15">
      <c r="A21" s="17" t="n"/>
      <c r="B21" s="11" t="n"/>
      <c r="C21" s="11" t="n"/>
      <c r="D21" s="11" t="n"/>
      <c r="E21" s="12" t="n"/>
      <c r="F21" s="11" t="n"/>
      <c r="G21" s="11" t="n"/>
      <c r="H21" s="11" t="n"/>
      <c r="I21" s="11" t="n"/>
      <c r="J21" s="11" t="n"/>
      <c r="K21" s="19" t="n"/>
      <c r="L21" s="4" t="n"/>
      <c r="M21" s="17" t="n"/>
      <c r="N21" s="17" t="n"/>
      <c r="O21" s="17" t="n"/>
      <c r="P21" s="9" t="inlineStr">
        <is>
          <t>黑</t>
        </is>
      </c>
      <c r="Q21" s="9" t="inlineStr">
        <is>
          <t>X00510R65R</t>
        </is>
      </c>
      <c r="R21" s="14" t="inlineStr">
        <is>
          <t>热缩膜包装</t>
        </is>
      </c>
      <c r="S21" s="14" t="inlineStr">
        <is>
          <t>纸箱57*40*33</t>
        </is>
      </c>
      <c r="T21" s="4" t="n">
        <v>5</v>
      </c>
      <c r="U21" s="4" t="n">
        <v>14.63</v>
      </c>
      <c r="V21" s="4" t="n">
        <v>16.06</v>
      </c>
      <c r="W21" s="16">
        <f>36.99*0.65*T21</f>
        <v/>
      </c>
      <c r="X21" s="4" t="n">
        <v>6302539090</v>
      </c>
    </row>
    <row r="22" ht="25" customHeight="1" s="15">
      <c r="A22" s="17" t="n"/>
      <c r="B22" s="9" t="n">
        <v>6</v>
      </c>
      <c r="C22" s="9" t="n">
        <v>84</v>
      </c>
      <c r="D22" s="4" t="inlineStr">
        <is>
          <t>白</t>
        </is>
      </c>
      <c r="E22" s="9" t="inlineStr">
        <is>
          <t>X003WMMHS7</t>
        </is>
      </c>
      <c r="F22" s="4" t="inlineStr">
        <is>
          <t>热缩膜</t>
        </is>
      </c>
      <c r="G22" s="4" t="inlineStr">
        <is>
          <t>纸箱规格：57*40*33cm</t>
        </is>
      </c>
      <c r="H22" s="4" t="n">
        <v>8</v>
      </c>
      <c r="I22" s="4" t="n">
        <v>14.05</v>
      </c>
      <c r="J22" s="4" t="n">
        <v>15.31</v>
      </c>
      <c r="K22" s="16">
        <f>19.99*0.5*H22</f>
        <v/>
      </c>
      <c r="L22" s="4" t="n">
        <v>6302539090</v>
      </c>
      <c r="M22" s="17" t="n"/>
      <c r="N22" s="17" t="n"/>
      <c r="O22" s="18" t="n"/>
      <c r="P22" s="9" t="inlineStr">
        <is>
          <t>米白</t>
        </is>
      </c>
      <c r="Q22" s="9" t="inlineStr">
        <is>
          <t>X0051BNWMH</t>
        </is>
      </c>
      <c r="R22" s="14" t="inlineStr">
        <is>
          <t>热缩膜包装</t>
        </is>
      </c>
      <c r="S22" s="14" t="inlineStr">
        <is>
          <t>纸箱57*40*33</t>
        </is>
      </c>
      <c r="T22" s="4" t="n">
        <v>5</v>
      </c>
      <c r="U22" s="4" t="n">
        <v>14.63</v>
      </c>
      <c r="V22" s="4" t="n">
        <v>16.06</v>
      </c>
      <c r="W22" s="16">
        <f>36.99*0.65*T22</f>
        <v/>
      </c>
      <c r="X22" s="4" t="n">
        <v>6302539090</v>
      </c>
    </row>
    <row r="23" ht="25" customHeight="1" s="15">
      <c r="A23" s="17" t="n"/>
      <c r="B23" s="17" t="n"/>
      <c r="C23" s="18" t="n"/>
      <c r="D23" s="4" t="inlineStr">
        <is>
          <t>黑</t>
        </is>
      </c>
      <c r="E23" s="9" t="inlineStr">
        <is>
          <t>X003WMMHSH</t>
        </is>
      </c>
      <c r="F23" s="4" t="inlineStr">
        <is>
          <t>热缩膜</t>
        </is>
      </c>
      <c r="G23" s="4" t="inlineStr">
        <is>
          <t>纸箱规格：57*40*33cm</t>
        </is>
      </c>
      <c r="H23" s="4" t="n">
        <v>8</v>
      </c>
      <c r="I23" s="4" t="n">
        <v>14.05</v>
      </c>
      <c r="J23" s="4" t="n">
        <v>15.31</v>
      </c>
      <c r="K23" s="16">
        <f>19.99*0.5*H23</f>
        <v/>
      </c>
      <c r="L23" s="4" t="n">
        <v>6302539090</v>
      </c>
      <c r="M23" s="17" t="n"/>
      <c r="N23" s="17" t="n"/>
      <c r="O23" s="9" t="inlineStr">
        <is>
          <t>90圆</t>
        </is>
      </c>
      <c r="P23" s="9" t="inlineStr">
        <is>
          <t>白</t>
        </is>
      </c>
      <c r="Q23" s="9" t="inlineStr">
        <is>
          <t>X004SJU7RB</t>
        </is>
      </c>
      <c r="R23" s="14" t="inlineStr">
        <is>
          <t>热缩膜包装</t>
        </is>
      </c>
      <c r="S23" s="14" t="inlineStr">
        <is>
          <t>纸箱规格：40*27*58cm</t>
        </is>
      </c>
      <c r="T23" s="4" t="n">
        <v>7</v>
      </c>
      <c r="U23" s="4" t="n">
        <v>15.51</v>
      </c>
      <c r="V23" s="4" t="n">
        <v>16.51</v>
      </c>
      <c r="W23" s="16">
        <f>34.99*0.6*T23</f>
        <v/>
      </c>
      <c r="X23" s="4" t="n">
        <v>6302539090</v>
      </c>
    </row>
    <row r="24" ht="25" customHeight="1" s="15">
      <c r="A24" s="17" t="n"/>
      <c r="B24" s="17" t="n"/>
      <c r="C24" s="9" t="n">
        <v>102</v>
      </c>
      <c r="D24" s="4" t="inlineStr">
        <is>
          <t>白</t>
        </is>
      </c>
      <c r="E24" s="9" t="inlineStr">
        <is>
          <t>X003WMVF6H</t>
        </is>
      </c>
      <c r="F24" s="4" t="inlineStr">
        <is>
          <t>热缩膜</t>
        </is>
      </c>
      <c r="G24" s="4" t="inlineStr">
        <is>
          <t>纸箱规格：57*40*33cm</t>
        </is>
      </c>
      <c r="H24" s="4" t="n">
        <v>9</v>
      </c>
      <c r="I24" s="4" t="n">
        <v>19.19</v>
      </c>
      <c r="J24" s="4" t="n">
        <v>20.55</v>
      </c>
      <c r="K24" s="16">
        <f>26.99*0.48*H24</f>
        <v/>
      </c>
      <c r="L24" s="4" t="n">
        <v>6302539090</v>
      </c>
      <c r="M24" s="17" t="n"/>
      <c r="N24" s="17" t="n"/>
      <c r="O24" s="17" t="n"/>
      <c r="P24" s="9" t="inlineStr">
        <is>
          <t>黑</t>
        </is>
      </c>
      <c r="Q24" s="9" t="inlineStr">
        <is>
          <t>X00510ORPJ</t>
        </is>
      </c>
      <c r="R24" s="14" t="inlineStr">
        <is>
          <t>热缩膜包装</t>
        </is>
      </c>
      <c r="S24" s="14" t="inlineStr">
        <is>
          <t>纸箱规格：40*27*58cm</t>
        </is>
      </c>
      <c r="T24" s="4" t="n">
        <v>7</v>
      </c>
      <c r="U24" s="4" t="n">
        <v>15.51</v>
      </c>
      <c r="V24" s="4" t="n">
        <v>16.51</v>
      </c>
      <c r="W24" s="16">
        <f>36.99*0.65*T24</f>
        <v/>
      </c>
      <c r="X24" s="4" t="n">
        <v>6302539090</v>
      </c>
    </row>
    <row r="25" ht="25" customHeight="1" s="15">
      <c r="A25" s="17" t="n"/>
      <c r="B25" s="17" t="n"/>
      <c r="C25" s="17" t="n"/>
      <c r="D25" s="4" t="inlineStr">
        <is>
          <t>黑</t>
        </is>
      </c>
      <c r="E25" s="9" t="inlineStr">
        <is>
          <t>X003WN3V5T</t>
        </is>
      </c>
      <c r="F25" s="4" t="inlineStr">
        <is>
          <t>热缩膜</t>
        </is>
      </c>
      <c r="G25" s="4" t="inlineStr">
        <is>
          <t>纸箱规格：57*40*33cm</t>
        </is>
      </c>
      <c r="H25" s="4" t="n">
        <v>9</v>
      </c>
      <c r="I25" s="4" t="n">
        <v>19.19</v>
      </c>
      <c r="J25" s="4" t="n">
        <v>20.55</v>
      </c>
      <c r="K25" s="16">
        <f>29.99*0.56*H25</f>
        <v/>
      </c>
      <c r="L25" s="4" t="n">
        <v>6302539090</v>
      </c>
      <c r="M25" s="17" t="n"/>
      <c r="N25" s="18" t="n"/>
      <c r="O25" s="18" t="n"/>
      <c r="P25" s="9" t="inlineStr">
        <is>
          <t>米白</t>
        </is>
      </c>
      <c r="Q25" s="9" t="inlineStr">
        <is>
          <t>X00510BIJH</t>
        </is>
      </c>
      <c r="R25" s="14" t="inlineStr">
        <is>
          <t>热缩膜包装</t>
        </is>
      </c>
      <c r="S25" s="14" t="inlineStr">
        <is>
          <t>纸箱规格：40*27*58cm</t>
        </is>
      </c>
      <c r="T25" s="4" t="n">
        <v>7</v>
      </c>
      <c r="U25" s="4" t="n">
        <v>15.51</v>
      </c>
      <c r="V25" s="4" t="n">
        <v>16.51</v>
      </c>
      <c r="W25" s="16">
        <f>36.99*0.65*T25</f>
        <v/>
      </c>
      <c r="X25" s="4" t="n">
        <v>6302539090</v>
      </c>
    </row>
    <row r="26" ht="25" customHeight="1" s="15">
      <c r="A26" s="17" t="n"/>
      <c r="B26" s="17" t="n"/>
      <c r="C26" s="17" t="n"/>
      <c r="D26" s="4" t="inlineStr">
        <is>
          <t>蓝</t>
        </is>
      </c>
      <c r="E26" s="9" t="inlineStr">
        <is>
          <t>X0050TS4O1</t>
        </is>
      </c>
      <c r="F26" s="4" t="inlineStr">
        <is>
          <t>热缩膜</t>
        </is>
      </c>
      <c r="G26" s="4" t="inlineStr">
        <is>
          <t>纸箱规格：57*40*33cm</t>
        </is>
      </c>
      <c r="H26" s="4" t="n">
        <v>9</v>
      </c>
      <c r="I26" s="4" t="n">
        <v>19.19</v>
      </c>
      <c r="J26" s="4" t="n">
        <v>20.55</v>
      </c>
      <c r="K26" s="16">
        <f>29.99*0.56*H26</f>
        <v/>
      </c>
      <c r="L26" s="4" t="n">
        <v>6302539090</v>
      </c>
      <c r="M26" s="17" t="n"/>
      <c r="N26" s="11" t="n"/>
      <c r="O26" s="11" t="n"/>
      <c r="P26" s="12" t="n"/>
      <c r="Q26" s="12" t="n"/>
      <c r="R26" s="11" t="n"/>
      <c r="S26" s="11" t="n"/>
      <c r="T26" s="11" t="n"/>
      <c r="U26" s="11" t="n"/>
      <c r="V26" s="11" t="n"/>
      <c r="W26" s="19" t="n"/>
      <c r="X26" s="4" t="n"/>
    </row>
    <row r="27" ht="25" customHeight="1" s="15">
      <c r="A27" s="17" t="n"/>
      <c r="B27" s="17" t="n"/>
      <c r="C27" s="18" t="n"/>
      <c r="D27" s="4" t="inlineStr">
        <is>
          <t>米白</t>
        </is>
      </c>
      <c r="E27" s="9" t="inlineStr">
        <is>
          <t>X004W20FM1</t>
        </is>
      </c>
      <c r="F27" s="4" t="inlineStr">
        <is>
          <t>热缩膜</t>
        </is>
      </c>
      <c r="G27" s="4" t="inlineStr">
        <is>
          <t>纸箱规格：57*40*33cm</t>
        </is>
      </c>
      <c r="H27" s="4" t="n">
        <v>9</v>
      </c>
      <c r="I27" s="4" t="n">
        <v>19.19</v>
      </c>
      <c r="J27" s="4" t="n">
        <v>20.55</v>
      </c>
      <c r="K27" s="16">
        <f>29.99*0.56*H27</f>
        <v/>
      </c>
      <c r="L27" s="4" t="n">
        <v>6302539090</v>
      </c>
      <c r="M27" s="17" t="n"/>
      <c r="N27" s="9" t="n">
        <v>10</v>
      </c>
      <c r="O27" s="9" t="n">
        <v>84</v>
      </c>
      <c r="P27" s="9" t="n"/>
      <c r="Q27" s="9" t="n"/>
      <c r="R27" s="4" t="n"/>
      <c r="S27" s="4" t="n"/>
      <c r="T27" s="4" t="n"/>
      <c r="U27" s="4" t="n"/>
      <c r="V27" s="4" t="n"/>
      <c r="W27" s="16" t="n"/>
      <c r="X27" s="4" t="n">
        <v>6302539090</v>
      </c>
    </row>
    <row r="28" ht="25" customHeight="1" s="15">
      <c r="A28" s="17" t="n"/>
      <c r="B28" s="17" t="n"/>
      <c r="C28" s="9" t="n">
        <v>126</v>
      </c>
      <c r="D28" s="4" t="inlineStr">
        <is>
          <t>白</t>
        </is>
      </c>
      <c r="E28" s="9" t="inlineStr">
        <is>
          <t>X003WN01DT</t>
        </is>
      </c>
      <c r="F28" s="6" t="inlineStr">
        <is>
          <t>内盒 28*23*18</t>
        </is>
      </c>
      <c r="G28" s="4" t="inlineStr">
        <is>
          <t>纸箱规格：57*48*30cm</t>
        </is>
      </c>
      <c r="H28" s="4" t="n">
        <v>6</v>
      </c>
      <c r="I28" s="4" t="n">
        <v>15.8</v>
      </c>
      <c r="J28" s="4" t="n">
        <v>18</v>
      </c>
      <c r="K28" s="16">
        <f>34.99*0.55*H28</f>
        <v/>
      </c>
      <c r="L28" s="4" t="n">
        <v>6302539090</v>
      </c>
      <c r="M28" s="17" t="n"/>
      <c r="N28" s="17" t="n"/>
      <c r="O28" s="9" t="n">
        <v>102</v>
      </c>
      <c r="P28" s="9" t="inlineStr">
        <is>
          <t>白</t>
        </is>
      </c>
      <c r="Q28" s="9" t="inlineStr">
        <is>
          <t>X004SJV9UF</t>
        </is>
      </c>
      <c r="R28" s="4" t="inlineStr">
        <is>
          <t>内盒25*19*28</t>
        </is>
      </c>
      <c r="S28" s="4" t="inlineStr">
        <is>
          <t>纸箱规格：40*27*58</t>
        </is>
      </c>
      <c r="T28" s="4" t="n">
        <v>4</v>
      </c>
      <c r="U28" s="4" t="n">
        <v>14.21</v>
      </c>
      <c r="V28" s="4" t="n">
        <v>16.35</v>
      </c>
      <c r="W28" s="16">
        <f>39.99*0.55*T28</f>
        <v/>
      </c>
      <c r="X28" s="4" t="n">
        <v>6302539090</v>
      </c>
    </row>
    <row r="29" ht="25" customHeight="1" s="15">
      <c r="A29" s="17" t="n"/>
      <c r="B29" s="17" t="n"/>
      <c r="C29" s="17" t="n"/>
      <c r="D29" s="4" t="inlineStr">
        <is>
          <t>蓝</t>
        </is>
      </c>
      <c r="E29" s="9" t="inlineStr">
        <is>
          <t>X005395YUF</t>
        </is>
      </c>
      <c r="F29" s="6" t="inlineStr">
        <is>
          <t>内盒 28*23*18</t>
        </is>
      </c>
      <c r="G29" s="4" t="inlineStr">
        <is>
          <t>纸箱规格：57*48*30cm</t>
        </is>
      </c>
      <c r="H29" s="4" t="n">
        <v>6</v>
      </c>
      <c r="I29" s="4" t="n">
        <v>15.8</v>
      </c>
      <c r="J29" s="4" t="n">
        <v>18</v>
      </c>
      <c r="K29" s="16">
        <f>34.99*0.65*H29</f>
        <v/>
      </c>
      <c r="L29" s="4" t="n">
        <v>6302539090</v>
      </c>
      <c r="M29" s="17" t="n"/>
      <c r="N29" s="17" t="n"/>
      <c r="O29" s="17" t="n"/>
      <c r="P29" s="9" t="inlineStr">
        <is>
          <t>黑</t>
        </is>
      </c>
      <c r="Q29" s="9" t="inlineStr">
        <is>
          <t>X004SJKYIN</t>
        </is>
      </c>
      <c r="R29" s="4" t="inlineStr">
        <is>
          <t>内盒25*19*28</t>
        </is>
      </c>
      <c r="S29" s="4" t="inlineStr">
        <is>
          <t>纸箱规格：40*27*58</t>
        </is>
      </c>
      <c r="T29" s="4" t="n">
        <v>4</v>
      </c>
      <c r="U29" s="4" t="n">
        <v>14.21</v>
      </c>
      <c r="V29" s="4" t="n">
        <v>16.35</v>
      </c>
      <c r="W29" s="16">
        <f>44.99*0.65*T29</f>
        <v/>
      </c>
      <c r="X29" s="4" t="n">
        <v>6302539090</v>
      </c>
    </row>
    <row r="30" ht="25" customHeight="1" s="15">
      <c r="A30" s="17" t="n"/>
      <c r="B30" s="17" t="n"/>
      <c r="C30" s="18" t="n"/>
      <c r="D30" s="4" t="inlineStr">
        <is>
          <t>米白</t>
        </is>
      </c>
      <c r="E30" s="9" t="inlineStr">
        <is>
          <t>X005398UJ7</t>
        </is>
      </c>
      <c r="F30" s="6" t="inlineStr">
        <is>
          <t>内盒 28*23*18</t>
        </is>
      </c>
      <c r="G30" s="4" t="inlineStr">
        <is>
          <t>纸箱规格：57*48*30cm</t>
        </is>
      </c>
      <c r="H30" s="4" t="n">
        <v>6</v>
      </c>
      <c r="I30" s="4" t="n">
        <v>15.8</v>
      </c>
      <c r="J30" s="4" t="n">
        <v>18</v>
      </c>
      <c r="K30" s="16">
        <f>34.99*0.65*H30</f>
        <v/>
      </c>
      <c r="L30" s="4" t="n">
        <v>6302539090</v>
      </c>
      <c r="M30" s="17" t="n"/>
      <c r="N30" s="17" t="n"/>
      <c r="O30" s="17" t="n"/>
      <c r="P30" s="9" t="inlineStr">
        <is>
          <t>蓝</t>
        </is>
      </c>
      <c r="Q30" s="9" t="inlineStr">
        <is>
          <t>X0053B31O9</t>
        </is>
      </c>
      <c r="R30" s="4" t="inlineStr">
        <is>
          <t>内盒25*19*28</t>
        </is>
      </c>
      <c r="S30" s="4" t="inlineStr">
        <is>
          <t>纸箱规格：40*27*58</t>
        </is>
      </c>
      <c r="T30" s="4" t="n">
        <v>4</v>
      </c>
      <c r="U30" s="4" t="n">
        <v>14.21</v>
      </c>
      <c r="V30" s="4" t="n">
        <v>16.35</v>
      </c>
      <c r="W30" s="16">
        <f>44.99*0.65*T30</f>
        <v/>
      </c>
      <c r="X30" s="4" t="n">
        <v>6302539090</v>
      </c>
    </row>
    <row r="31" ht="25" customHeight="1" s="15">
      <c r="A31" s="17" t="n"/>
      <c r="B31" s="17" t="n"/>
      <c r="C31" s="9" t="n">
        <v>120</v>
      </c>
      <c r="D31" s="4" t="inlineStr">
        <is>
          <t>白</t>
        </is>
      </c>
      <c r="E31" s="9" t="inlineStr">
        <is>
          <t>X0050TQ82L</t>
        </is>
      </c>
      <c r="F31" s="14" t="inlineStr">
        <is>
          <t>热缩膜包装</t>
        </is>
      </c>
      <c r="G31" s="14" t="inlineStr">
        <is>
          <t>纸箱57*40*33</t>
        </is>
      </c>
      <c r="H31" s="4" t="n">
        <v>5</v>
      </c>
      <c r="I31" s="4" t="n">
        <v>14.63</v>
      </c>
      <c r="J31" s="4" t="n">
        <v>16.06</v>
      </c>
      <c r="K31" s="16">
        <f>36.99*0.6*H31</f>
        <v/>
      </c>
      <c r="L31" s="4" t="n">
        <v>6302539090</v>
      </c>
      <c r="M31" s="17" t="n"/>
      <c r="N31" s="17" t="n"/>
      <c r="O31" s="18" t="n"/>
      <c r="P31" s="9" t="inlineStr">
        <is>
          <t>米白</t>
        </is>
      </c>
      <c r="Q31" s="9" t="inlineStr">
        <is>
          <t>X00510W6CF</t>
        </is>
      </c>
      <c r="R31" s="4" t="inlineStr">
        <is>
          <t>内盒25*19*28</t>
        </is>
      </c>
      <c r="S31" s="4" t="inlineStr">
        <is>
          <t>纸箱规格：40*27*58</t>
        </is>
      </c>
      <c r="T31" s="4" t="n">
        <v>4</v>
      </c>
      <c r="U31" s="4" t="n">
        <v>14.21</v>
      </c>
      <c r="V31" s="4" t="n">
        <v>16.35</v>
      </c>
      <c r="W31" s="16">
        <f>44.99*0.65*T31</f>
        <v/>
      </c>
      <c r="X31" s="4" t="n">
        <v>6302539090</v>
      </c>
    </row>
    <row r="32" ht="25" customHeight="1" s="15">
      <c r="A32" s="17" t="n"/>
      <c r="B32" s="17" t="n"/>
      <c r="C32" s="17" t="n"/>
      <c r="D32" s="4" t="inlineStr">
        <is>
          <t>黑</t>
        </is>
      </c>
      <c r="E32" s="9" t="inlineStr">
        <is>
          <t>X0050TQ98J</t>
        </is>
      </c>
      <c r="F32" s="14" t="inlineStr">
        <is>
          <t>热缩膜包装</t>
        </is>
      </c>
      <c r="G32" s="14" t="inlineStr">
        <is>
          <t>纸箱57*40*33</t>
        </is>
      </c>
      <c r="H32" s="4" t="n">
        <v>5</v>
      </c>
      <c r="I32" s="4" t="n">
        <v>14.63</v>
      </c>
      <c r="J32" s="4" t="n">
        <v>16.06</v>
      </c>
      <c r="K32" s="16">
        <f>36.99*0.65*H32</f>
        <v/>
      </c>
      <c r="L32" s="4" t="n">
        <v>6302539090</v>
      </c>
      <c r="M32" s="17" t="n"/>
      <c r="N32" s="17" t="n"/>
      <c r="O32" s="9" t="n">
        <v>126</v>
      </c>
      <c r="P32" s="9" t="n"/>
      <c r="Q32" s="9" t="n"/>
      <c r="R32" s="4" t="n"/>
      <c r="S32" s="4" t="n"/>
      <c r="T32" s="4" t="n"/>
      <c r="U32" s="4" t="n"/>
      <c r="V32" s="4" t="n"/>
      <c r="W32" s="16" t="n"/>
      <c r="X32" s="4" t="n">
        <v>6302539090</v>
      </c>
    </row>
    <row r="33" ht="25" customHeight="1" s="15">
      <c r="A33" s="17" t="n"/>
      <c r="B33" s="17" t="n"/>
      <c r="C33" s="17" t="n"/>
      <c r="D33" s="4" t="inlineStr">
        <is>
          <t>蓝</t>
        </is>
      </c>
      <c r="E33" s="9" t="inlineStr">
        <is>
          <t>X0050TOCM9</t>
        </is>
      </c>
      <c r="F33" s="14" t="inlineStr">
        <is>
          <t>热缩膜包装</t>
        </is>
      </c>
      <c r="G33" s="14" t="inlineStr">
        <is>
          <t>纸箱57*40*33</t>
        </is>
      </c>
      <c r="H33" s="4" t="n">
        <v>5</v>
      </c>
      <c r="I33" s="4" t="n">
        <v>14.63</v>
      </c>
      <c r="J33" s="4" t="n">
        <v>16.06</v>
      </c>
      <c r="K33" s="16">
        <f>36.99*0.65*H33</f>
        <v/>
      </c>
      <c r="L33" s="4" t="n">
        <v>6302539090</v>
      </c>
      <c r="M33" s="17" t="n"/>
      <c r="N33" s="17" t="n"/>
      <c r="O33" s="9" t="n">
        <v>120</v>
      </c>
      <c r="P33" s="9" t="inlineStr">
        <is>
          <t>白</t>
        </is>
      </c>
      <c r="Q33" s="9" t="inlineStr">
        <is>
          <t>X0053BQ5SD</t>
        </is>
      </c>
      <c r="R33" s="4" t="inlineStr">
        <is>
          <t>内盒40*20*24</t>
        </is>
      </c>
      <c r="S33" s="4" t="inlineStr">
        <is>
          <t>纸箱规格：41.5*25.5*62.5</t>
        </is>
      </c>
      <c r="T33" s="4" t="n">
        <v>3</v>
      </c>
      <c r="U33" s="4" t="n">
        <v>14.63</v>
      </c>
      <c r="V33" s="4" t="n">
        <v>16.71</v>
      </c>
      <c r="W33" s="16">
        <f>49.99*0.6*T33</f>
        <v/>
      </c>
      <c r="X33" s="4" t="n">
        <v>6302539090</v>
      </c>
    </row>
    <row r="34" ht="25" customHeight="1" s="15">
      <c r="A34" s="17" t="n"/>
      <c r="B34" s="17" t="n"/>
      <c r="C34" s="18" t="n"/>
      <c r="D34" s="4" t="inlineStr">
        <is>
          <t>米白</t>
        </is>
      </c>
      <c r="E34" s="9" t="inlineStr">
        <is>
          <t>X0050TSCX9</t>
        </is>
      </c>
      <c r="F34" s="14" t="inlineStr">
        <is>
          <t>热缩膜包装</t>
        </is>
      </c>
      <c r="G34" s="14" t="inlineStr">
        <is>
          <t>纸箱57*40*33</t>
        </is>
      </c>
      <c r="H34" s="4" t="n">
        <v>5</v>
      </c>
      <c r="I34" s="4" t="n">
        <v>14.63</v>
      </c>
      <c r="J34" s="4" t="n">
        <v>16.06</v>
      </c>
      <c r="K34" s="16">
        <f>36.99*0.65*H34</f>
        <v/>
      </c>
      <c r="L34" s="4" t="n">
        <v>6302539090</v>
      </c>
      <c r="M34" s="17" t="n"/>
      <c r="N34" s="17" t="n"/>
      <c r="O34" s="17" t="n"/>
      <c r="P34" s="9" t="inlineStr">
        <is>
          <t>黑</t>
        </is>
      </c>
      <c r="Q34" s="9" t="inlineStr">
        <is>
          <t>X0053BC7Y9</t>
        </is>
      </c>
      <c r="R34" s="4" t="inlineStr">
        <is>
          <t>内盒40*20*24</t>
        </is>
      </c>
      <c r="S34" s="4" t="inlineStr">
        <is>
          <t>纸箱规格：41.5*25.5*62.5</t>
        </is>
      </c>
      <c r="T34" s="4" t="n">
        <v>3</v>
      </c>
      <c r="U34" s="4" t="n">
        <v>14.63</v>
      </c>
      <c r="V34" s="4" t="n">
        <v>16.71</v>
      </c>
      <c r="W34" s="16">
        <f>59.99*0.65*T34</f>
        <v/>
      </c>
      <c r="X34" s="4" t="n">
        <v>6302539090</v>
      </c>
    </row>
    <row r="35" ht="25" customHeight="1" s="15">
      <c r="A35" s="17" t="n"/>
      <c r="B35" s="17" t="n"/>
      <c r="C35" s="9" t="inlineStr">
        <is>
          <t>90圆</t>
        </is>
      </c>
      <c r="D35" s="4" t="inlineStr">
        <is>
          <t>白</t>
        </is>
      </c>
      <c r="E35" s="9" t="inlineStr">
        <is>
          <t>X004S99E9D</t>
        </is>
      </c>
      <c r="F35" s="14" t="inlineStr">
        <is>
          <t>热缩膜包装</t>
        </is>
      </c>
      <c r="G35" s="14" t="inlineStr">
        <is>
          <t>纸箱规格：40*27*58cm</t>
        </is>
      </c>
      <c r="H35" s="4" t="n">
        <v>7</v>
      </c>
      <c r="I35" s="4" t="n">
        <v>15.51</v>
      </c>
      <c r="J35" s="4" t="n">
        <v>16.51</v>
      </c>
      <c r="K35" s="16">
        <f>34.99*0.6*H35</f>
        <v/>
      </c>
      <c r="L35" s="4" t="n">
        <v>6302539090</v>
      </c>
      <c r="M35" s="17" t="n"/>
      <c r="N35" s="17" t="n"/>
      <c r="O35" s="17" t="n"/>
      <c r="P35" s="9" t="inlineStr">
        <is>
          <t>蓝</t>
        </is>
      </c>
      <c r="Q35" s="9" t="inlineStr">
        <is>
          <t>X0053B32ON</t>
        </is>
      </c>
      <c r="R35" s="4" t="inlineStr">
        <is>
          <t>内盒40*20*24</t>
        </is>
      </c>
      <c r="S35" s="4" t="inlineStr">
        <is>
          <t>纸箱规格：41.5*25.5*62.5</t>
        </is>
      </c>
      <c r="T35" s="4" t="n">
        <v>3</v>
      </c>
      <c r="U35" s="4" t="n">
        <v>14.63</v>
      </c>
      <c r="V35" s="4" t="n">
        <v>16.71</v>
      </c>
      <c r="W35" s="16">
        <f>59.99*0.65*T35</f>
        <v/>
      </c>
      <c r="X35" s="4" t="n">
        <v>6302539090</v>
      </c>
    </row>
    <row r="36" ht="25" customHeight="1" s="15">
      <c r="A36" s="17" t="n"/>
      <c r="B36" s="17" t="n"/>
      <c r="C36" s="17" t="n"/>
      <c r="D36" s="4" t="inlineStr">
        <is>
          <t>黑</t>
        </is>
      </c>
      <c r="E36" s="9" t="inlineStr">
        <is>
          <t>X004W0WH5B</t>
        </is>
      </c>
      <c r="F36" s="14" t="inlineStr">
        <is>
          <t>热缩膜包装</t>
        </is>
      </c>
      <c r="G36" s="14" t="inlineStr">
        <is>
          <t>纸箱规格：40*27*58cm</t>
        </is>
      </c>
      <c r="H36" s="4" t="n">
        <v>7</v>
      </c>
      <c r="I36" s="4" t="n">
        <v>15.51</v>
      </c>
      <c r="J36" s="4" t="n">
        <v>16.51</v>
      </c>
      <c r="K36" s="16">
        <f>36.99*0.65*H36</f>
        <v/>
      </c>
      <c r="L36" s="4" t="n">
        <v>6302539090</v>
      </c>
      <c r="M36" s="17" t="n"/>
      <c r="N36" s="17" t="n"/>
      <c r="O36" s="18" t="n"/>
      <c r="P36" s="9" t="inlineStr">
        <is>
          <t>米白</t>
        </is>
      </c>
      <c r="Q36" s="9" t="inlineStr">
        <is>
          <t>X0053BIIXN</t>
        </is>
      </c>
      <c r="R36" s="4" t="inlineStr">
        <is>
          <t>内盒40*20*24</t>
        </is>
      </c>
      <c r="S36" s="4" t="inlineStr">
        <is>
          <t>纸箱规格：41.5*25.5*62.5</t>
        </is>
      </c>
      <c r="T36" s="4" t="n">
        <v>3</v>
      </c>
      <c r="U36" s="4" t="n">
        <v>14.63</v>
      </c>
      <c r="V36" s="4" t="n">
        <v>16.71</v>
      </c>
      <c r="W36" s="16">
        <f>59.99*0.65*T36</f>
        <v/>
      </c>
      <c r="X36" s="4" t="n">
        <v>6302539090</v>
      </c>
    </row>
    <row r="37" ht="25" customHeight="1" s="15">
      <c r="A37" s="17" t="n"/>
      <c r="B37" s="17" t="n"/>
      <c r="C37" s="17" t="n"/>
      <c r="D37" s="4" t="inlineStr">
        <is>
          <t>蓝</t>
        </is>
      </c>
      <c r="E37" s="9" t="inlineStr">
        <is>
          <t>X0050TSQZ3</t>
        </is>
      </c>
      <c r="F37" s="14" t="inlineStr">
        <is>
          <t>热缩膜包装</t>
        </is>
      </c>
      <c r="G37" s="14" t="inlineStr">
        <is>
          <t>纸箱规格：40*27*58cm</t>
        </is>
      </c>
      <c r="H37" s="4" t="n">
        <v>7</v>
      </c>
      <c r="I37" s="4" t="n">
        <v>15.51</v>
      </c>
      <c r="J37" s="4" t="n">
        <v>16.51</v>
      </c>
      <c r="K37" s="16">
        <f>36.99*0.65*H37</f>
        <v/>
      </c>
      <c r="L37" s="4" t="n">
        <v>6302539090</v>
      </c>
      <c r="M37" s="17" t="n"/>
      <c r="N37" s="17" t="n"/>
      <c r="O37" s="9" t="inlineStr">
        <is>
          <t>90圆</t>
        </is>
      </c>
      <c r="P37" s="9" t="inlineStr">
        <is>
          <t>白</t>
        </is>
      </c>
      <c r="Q37" s="9" t="n"/>
      <c r="R37" s="4" t="n"/>
      <c r="S37" s="4" t="n"/>
      <c r="T37" s="4" t="n"/>
      <c r="U37" s="4" t="n"/>
      <c r="V37" s="4" t="n"/>
      <c r="W37" s="16" t="n"/>
      <c r="X37" s="4" t="n">
        <v>6302539090</v>
      </c>
    </row>
    <row r="38" ht="25" customHeight="1" s="15">
      <c r="A38" s="17" t="n"/>
      <c r="B38" s="18" t="n"/>
      <c r="C38" s="18" t="n"/>
      <c r="D38" s="4" t="inlineStr">
        <is>
          <t>米白</t>
        </is>
      </c>
      <c r="E38" s="9" t="inlineStr">
        <is>
          <t>X004W0V8OH</t>
        </is>
      </c>
      <c r="F38" s="14" t="inlineStr">
        <is>
          <t>热缩膜包装</t>
        </is>
      </c>
      <c r="G38" s="14" t="inlineStr">
        <is>
          <t>纸箱规格：40*27*58cm</t>
        </is>
      </c>
      <c r="H38" s="4" t="n">
        <v>7</v>
      </c>
      <c r="I38" s="4" t="n">
        <v>15.51</v>
      </c>
      <c r="J38" s="4" t="n">
        <v>16.51</v>
      </c>
      <c r="K38" s="16">
        <f>36.99*0.65*H38</f>
        <v/>
      </c>
      <c r="L38" s="4" t="n">
        <v>6302539090</v>
      </c>
      <c r="M38" s="17" t="n"/>
      <c r="N38" s="17" t="n"/>
      <c r="O38" s="17" t="n"/>
      <c r="P38" s="9" t="inlineStr">
        <is>
          <t>黑</t>
        </is>
      </c>
      <c r="Q38" s="9" t="inlineStr">
        <is>
          <t>X0053B4MUB</t>
        </is>
      </c>
      <c r="R38" s="4" t="inlineStr">
        <is>
          <t>内盒25*19*28</t>
        </is>
      </c>
      <c r="S38" s="4" t="inlineStr">
        <is>
          <t>纸箱规格：40*27*58</t>
        </is>
      </c>
      <c r="T38" s="4" t="n">
        <v>4</v>
      </c>
      <c r="U38" s="4" t="n">
        <v>14.78</v>
      </c>
      <c r="V38" s="4" t="n">
        <v>16.92</v>
      </c>
      <c r="W38" s="16">
        <f>44.9*0.6*T38</f>
        <v/>
      </c>
      <c r="X38" s="4" t="n">
        <v>6302539090</v>
      </c>
    </row>
    <row r="39" ht="25" customHeight="1" s="15">
      <c r="A39" s="17" t="n"/>
      <c r="B39" s="11" t="n"/>
      <c r="C39" s="11" t="n"/>
      <c r="D39" s="11" t="n"/>
      <c r="E39" s="12" t="n"/>
      <c r="F39" s="11" t="n"/>
      <c r="G39" s="11" t="n"/>
      <c r="H39" s="11" t="n"/>
      <c r="I39" s="11" t="n"/>
      <c r="J39" s="11" t="n"/>
      <c r="K39" s="19" t="n"/>
      <c r="L39" s="4" t="n"/>
      <c r="M39" s="17" t="n"/>
      <c r="N39" s="17" t="n"/>
      <c r="O39" s="17" t="n"/>
      <c r="P39" s="9" t="inlineStr">
        <is>
          <t>蓝</t>
        </is>
      </c>
      <c r="Q39" s="9" t="inlineStr">
        <is>
          <t>X0053BLFGP</t>
        </is>
      </c>
      <c r="R39" s="4" t="inlineStr">
        <is>
          <t>内盒25*19*28</t>
        </is>
      </c>
      <c r="S39" s="4" t="inlineStr">
        <is>
          <t>纸箱规格：40*27*58</t>
        </is>
      </c>
      <c r="T39" s="4" t="n">
        <v>4</v>
      </c>
      <c r="U39" s="4" t="n">
        <v>14.78</v>
      </c>
      <c r="V39" s="4" t="n">
        <v>16.92</v>
      </c>
      <c r="W39" s="16">
        <f>49.99*0.65*T39</f>
        <v/>
      </c>
      <c r="X39" s="4" t="n">
        <v>6302539090</v>
      </c>
    </row>
    <row r="40" ht="25" customHeight="1" s="15">
      <c r="A40" s="17" t="n"/>
      <c r="B40" s="9" t="n">
        <v>10</v>
      </c>
      <c r="C40" s="9" t="n">
        <v>84</v>
      </c>
      <c r="D40" s="4" t="n"/>
      <c r="E40" s="9" t="n"/>
      <c r="F40" s="4" t="n"/>
      <c r="G40" s="4" t="n"/>
      <c r="H40" s="4" t="n"/>
      <c r="I40" s="4" t="n"/>
      <c r="J40" s="4" t="n"/>
      <c r="K40" s="16" t="n"/>
      <c r="L40" s="4" t="n">
        <v>6302539090</v>
      </c>
      <c r="M40" s="17" t="n"/>
      <c r="N40" s="18" t="n"/>
      <c r="O40" s="18" t="n"/>
      <c r="P40" s="9" t="inlineStr">
        <is>
          <t>米白</t>
        </is>
      </c>
      <c r="Q40" s="9" t="inlineStr">
        <is>
          <t>X0053BBGYL</t>
        </is>
      </c>
      <c r="R40" s="4" t="inlineStr">
        <is>
          <t>内盒25*19*28</t>
        </is>
      </c>
      <c r="S40" s="4" t="inlineStr">
        <is>
          <t>纸箱规格：40*27*58</t>
        </is>
      </c>
      <c r="T40" s="4" t="n">
        <v>4</v>
      </c>
      <c r="U40" s="4" t="n">
        <v>14.78</v>
      </c>
      <c r="V40" s="4" t="n">
        <v>16.92</v>
      </c>
      <c r="W40" s="16">
        <f>49.99*0.65*T40</f>
        <v/>
      </c>
      <c r="X40" s="4" t="n">
        <v>6302539090</v>
      </c>
    </row>
    <row r="41" ht="25" customHeight="1" s="15">
      <c r="A41" s="17" t="n"/>
      <c r="B41" s="17" t="n"/>
      <c r="C41" s="9" t="n">
        <v>102</v>
      </c>
      <c r="D41" s="4" t="inlineStr">
        <is>
          <t>白</t>
        </is>
      </c>
      <c r="E41" s="9" t="inlineStr">
        <is>
          <t>X003WN3V5J</t>
        </is>
      </c>
      <c r="F41" s="4" t="inlineStr">
        <is>
          <t>内盒25*19*28</t>
        </is>
      </c>
      <c r="G41" s="4" t="inlineStr">
        <is>
          <t>纸箱规格：40*27*58</t>
        </is>
      </c>
      <c r="H41" s="4" t="n">
        <v>4</v>
      </c>
      <c r="I41" s="4" t="n">
        <v>14.21</v>
      </c>
      <c r="J41" s="4" t="n">
        <v>16.35</v>
      </c>
      <c r="K41" s="16">
        <f>39.99*0.55*H41</f>
        <v/>
      </c>
      <c r="L41" s="4" t="n">
        <v>6302539090</v>
      </c>
      <c r="M41" s="17" t="n"/>
      <c r="N41" s="4" t="n"/>
      <c r="O41" s="4" t="n"/>
      <c r="P41" s="9" t="n"/>
      <c r="Q41" s="9" t="n"/>
      <c r="R41" s="4" t="n"/>
      <c r="S41" s="4" t="n"/>
      <c r="T41" s="4" t="n"/>
      <c r="U41" s="4" t="n"/>
      <c r="V41" s="4" t="n"/>
      <c r="W41" s="4" t="n"/>
      <c r="X41" s="4" t="n"/>
    </row>
    <row r="42" ht="25" customHeight="1" s="15">
      <c r="A42" s="17" t="n"/>
      <c r="B42" s="17" t="n"/>
      <c r="C42" s="17" t="n"/>
      <c r="D42" s="4" t="inlineStr">
        <is>
          <t>黑</t>
        </is>
      </c>
      <c r="E42" s="9" t="inlineStr">
        <is>
          <t>X0050TOO2H</t>
        </is>
      </c>
      <c r="F42" s="4" t="inlineStr">
        <is>
          <t>内盒25*19*28</t>
        </is>
      </c>
      <c r="G42" s="4" t="inlineStr">
        <is>
          <t>纸箱规格：40*27*58</t>
        </is>
      </c>
      <c r="H42" s="4" t="n">
        <v>4</v>
      </c>
      <c r="I42" s="4" t="n">
        <v>14.21</v>
      </c>
      <c r="J42" s="4" t="n">
        <v>16.35</v>
      </c>
      <c r="K42" s="16">
        <f>44.99*0.65*H42</f>
        <v/>
      </c>
      <c r="L42" s="4" t="n">
        <v>6302539090</v>
      </c>
      <c r="M42" s="17" t="n"/>
      <c r="N42" s="4" t="n"/>
      <c r="O42" s="4" t="n"/>
      <c r="P42" s="9" t="n"/>
      <c r="Q42" s="9" t="n"/>
      <c r="R42" s="4" t="n"/>
      <c r="S42" s="4" t="n"/>
      <c r="T42" s="4" t="n"/>
      <c r="U42" s="4" t="n"/>
      <c r="V42" s="4" t="n"/>
      <c r="W42" s="4" t="n"/>
      <c r="X42" s="4" t="n"/>
    </row>
    <row r="43" ht="25" customHeight="1" s="15">
      <c r="A43" s="17" t="n"/>
      <c r="B43" s="17" t="n"/>
      <c r="C43" s="17" t="n"/>
      <c r="D43" s="4" t="inlineStr">
        <is>
          <t>蓝</t>
        </is>
      </c>
      <c r="E43" s="9" t="inlineStr">
        <is>
          <t>X0052FXOH5</t>
        </is>
      </c>
      <c r="F43" s="4" t="inlineStr">
        <is>
          <t>内盒25*19*28</t>
        </is>
      </c>
      <c r="G43" s="4" t="inlineStr">
        <is>
          <t>纸箱规格：40*27*58</t>
        </is>
      </c>
      <c r="H43" s="4" t="n">
        <v>4</v>
      </c>
      <c r="I43" s="4" t="n">
        <v>14.21</v>
      </c>
      <c r="J43" s="4" t="n">
        <v>16.35</v>
      </c>
      <c r="K43" s="16">
        <f>44.99*0.65*H43</f>
        <v/>
      </c>
      <c r="L43" s="4" t="n">
        <v>6302539090</v>
      </c>
      <c r="M43" s="17" t="n"/>
      <c r="N43" s="4" t="n"/>
      <c r="O43" s="4" t="n"/>
      <c r="P43" s="9" t="n"/>
      <c r="Q43" s="9" t="n"/>
      <c r="R43" s="4" t="n"/>
      <c r="S43" s="4" t="n"/>
      <c r="T43" s="4" t="n"/>
      <c r="U43" s="4" t="n"/>
      <c r="V43" s="4" t="n"/>
      <c r="W43" s="4" t="n"/>
      <c r="X43" s="4" t="n"/>
    </row>
    <row r="44" ht="25" customHeight="1" s="15">
      <c r="A44" s="17" t="n"/>
      <c r="B44" s="17" t="n"/>
      <c r="C44" s="18" t="n"/>
      <c r="D44" s="4" t="inlineStr">
        <is>
          <t>米白</t>
        </is>
      </c>
      <c r="E44" s="9" t="inlineStr">
        <is>
          <t>X0050TQ9HP</t>
        </is>
      </c>
      <c r="F44" s="4" t="inlineStr">
        <is>
          <t>内盒25*19*28</t>
        </is>
      </c>
      <c r="G44" s="4" t="inlineStr">
        <is>
          <t>纸箱规格：40*27*58</t>
        </is>
      </c>
      <c r="H44" s="4" t="n">
        <v>4</v>
      </c>
      <c r="I44" s="4" t="n">
        <v>14.21</v>
      </c>
      <c r="J44" s="4" t="n">
        <v>16.35</v>
      </c>
      <c r="K44" s="16">
        <f>44.99*0.65*H44</f>
        <v/>
      </c>
      <c r="L44" s="4" t="n">
        <v>6302539090</v>
      </c>
      <c r="M44" s="17" t="n"/>
      <c r="N44" s="4" t="n"/>
      <c r="O44" s="4" t="n"/>
      <c r="P44" s="9" t="n"/>
      <c r="Q44" s="9" t="n"/>
      <c r="R44" s="4" t="n"/>
      <c r="S44" s="4" t="n"/>
      <c r="T44" s="4" t="n"/>
      <c r="U44" s="4" t="n"/>
      <c r="V44" s="4" t="n"/>
      <c r="W44" s="4" t="n"/>
      <c r="X44" s="4" t="n"/>
    </row>
    <row r="45" ht="25" customHeight="1" s="15">
      <c r="A45" s="17" t="n"/>
      <c r="B45" s="17" t="n"/>
      <c r="C45" s="9" t="n">
        <v>126</v>
      </c>
      <c r="D45" s="4" t="inlineStr">
        <is>
          <t>白</t>
        </is>
      </c>
      <c r="E45" s="9" t="inlineStr">
        <is>
          <t>X005395XVF</t>
        </is>
      </c>
      <c r="F45" s="4" t="inlineStr">
        <is>
          <t>内盒18*30*35.5</t>
        </is>
      </c>
      <c r="G45" s="4" t="inlineStr">
        <is>
          <t>纸箱：57*32*37</t>
        </is>
      </c>
      <c r="H45" s="4" t="n">
        <v>3</v>
      </c>
      <c r="I45" s="4" t="n">
        <v>13.17</v>
      </c>
      <c r="J45" s="4" t="n">
        <v>15.37</v>
      </c>
      <c r="K45" s="16">
        <f>49.99*0.65*H45</f>
        <v/>
      </c>
      <c r="L45" s="4" t="n">
        <v>6302539090</v>
      </c>
      <c r="M45" s="17" t="n"/>
      <c r="N45" s="4" t="n"/>
      <c r="O45" s="4" t="n"/>
      <c r="P45" s="9" t="n"/>
      <c r="Q45" s="9" t="n"/>
      <c r="R45" s="4" t="n"/>
      <c r="S45" s="4" t="n"/>
      <c r="T45" s="4" t="n"/>
      <c r="U45" s="4" t="n"/>
      <c r="V45" s="4" t="n"/>
      <c r="W45" s="4" t="n"/>
      <c r="X45" s="4" t="n"/>
    </row>
    <row r="46" ht="25" customHeight="1" s="15">
      <c r="A46" s="17" t="n"/>
      <c r="B46" s="17" t="n"/>
      <c r="C46" s="18" t="n"/>
      <c r="D46" s="4" t="inlineStr">
        <is>
          <t>米白</t>
        </is>
      </c>
      <c r="E46" s="9" t="inlineStr">
        <is>
          <t>X0054KNSLF</t>
        </is>
      </c>
      <c r="F46" s="4" t="inlineStr">
        <is>
          <t>内盒18*30*35.5</t>
        </is>
      </c>
      <c r="G46" s="4" t="inlineStr">
        <is>
          <t>纸箱：57*32*37</t>
        </is>
      </c>
      <c r="H46" s="4" t="n">
        <v>3</v>
      </c>
      <c r="I46" s="4" t="n">
        <v>13.17</v>
      </c>
      <c r="J46" s="4" t="n">
        <v>15.37</v>
      </c>
      <c r="K46" s="16">
        <f>49.99*0.65*H46</f>
        <v/>
      </c>
      <c r="L46" s="4" t="n">
        <v>6302539090</v>
      </c>
      <c r="M46" s="17" t="n"/>
      <c r="N46" s="4" t="n"/>
      <c r="O46" s="4" t="n"/>
      <c r="P46" s="9" t="n"/>
      <c r="Q46" s="9" t="n"/>
      <c r="R46" s="4" t="n"/>
      <c r="S46" s="4" t="n"/>
      <c r="T46" s="4" t="n"/>
      <c r="U46" s="4" t="n"/>
      <c r="V46" s="4" t="n"/>
      <c r="W46" s="4" t="n"/>
      <c r="X46" s="4" t="n"/>
    </row>
    <row r="47" ht="25" customHeight="1" s="15">
      <c r="A47" s="17" t="n"/>
      <c r="B47" s="17" t="n"/>
      <c r="C47" s="9" t="n">
        <v>120</v>
      </c>
      <c r="D47" s="4" t="inlineStr">
        <is>
          <t>白</t>
        </is>
      </c>
      <c r="E47" s="9" t="inlineStr">
        <is>
          <t>X005395QNF</t>
        </is>
      </c>
      <c r="F47" s="4" t="inlineStr">
        <is>
          <t>内盒18*30*35.5</t>
        </is>
      </c>
      <c r="G47" s="4" t="inlineStr">
        <is>
          <t>纸箱：57*32*37</t>
        </is>
      </c>
      <c r="H47" s="4" t="n">
        <v>3</v>
      </c>
      <c r="I47" s="4" t="n">
        <v>14.63</v>
      </c>
      <c r="J47" s="4" t="n">
        <v>16.71</v>
      </c>
      <c r="K47" s="16">
        <f>49.99*0.6*H47</f>
        <v/>
      </c>
      <c r="L47" s="4" t="n">
        <v>6302539090</v>
      </c>
      <c r="M47" s="17" t="n"/>
      <c r="N47" s="4" t="n"/>
      <c r="O47" s="4" t="n"/>
      <c r="P47" s="9" t="n"/>
      <c r="Q47" s="9" t="n"/>
      <c r="R47" s="4" t="n"/>
      <c r="S47" s="4" t="n"/>
      <c r="T47" s="4" t="n"/>
      <c r="U47" s="4" t="n"/>
      <c r="V47" s="4" t="n"/>
      <c r="W47" s="4" t="n"/>
      <c r="X47" s="4" t="n"/>
    </row>
    <row r="48" ht="25" customHeight="1" s="15">
      <c r="A48" s="17" t="n"/>
      <c r="B48" s="17" t="n"/>
      <c r="C48" s="17" t="n"/>
      <c r="D48" s="4" t="inlineStr">
        <is>
          <t>黑</t>
        </is>
      </c>
      <c r="E48" s="9" t="inlineStr">
        <is>
          <t>X005395YS7</t>
        </is>
      </c>
      <c r="F48" s="4" t="inlineStr">
        <is>
          <t>内盒18*30*35.5</t>
        </is>
      </c>
      <c r="G48" s="4" t="inlineStr">
        <is>
          <t>纸箱：57*32*37</t>
        </is>
      </c>
      <c r="H48" s="4" t="n">
        <v>3</v>
      </c>
      <c r="I48" s="4" t="n">
        <v>14.63</v>
      </c>
      <c r="J48" s="4" t="n">
        <v>16.71</v>
      </c>
      <c r="K48" s="16">
        <f>59.99*0.65*H48</f>
        <v/>
      </c>
      <c r="L48" s="4" t="n">
        <v>6302539090</v>
      </c>
      <c r="M48" s="17" t="n"/>
      <c r="N48" s="4" t="n"/>
      <c r="O48" s="4" t="n"/>
      <c r="P48" s="9" t="n"/>
      <c r="Q48" s="9" t="n"/>
      <c r="R48" s="4" t="n"/>
      <c r="S48" s="4" t="n"/>
      <c r="T48" s="4" t="n"/>
      <c r="U48" s="4" t="n"/>
      <c r="V48" s="4" t="n"/>
      <c r="W48" s="4" t="n"/>
      <c r="X48" s="4" t="n"/>
    </row>
    <row r="49" ht="25" customHeight="1" s="15">
      <c r="A49" s="17" t="n"/>
      <c r="B49" s="17" t="n"/>
      <c r="C49" s="18" t="n"/>
      <c r="D49" s="4" t="inlineStr">
        <is>
          <t>米白</t>
        </is>
      </c>
      <c r="E49" s="9" t="inlineStr">
        <is>
          <t>X00539789F</t>
        </is>
      </c>
      <c r="F49" s="4" t="inlineStr">
        <is>
          <t>内盒18*30*35.5</t>
        </is>
      </c>
      <c r="G49" s="4" t="inlineStr">
        <is>
          <t>纸箱：57*32*37</t>
        </is>
      </c>
      <c r="H49" s="4" t="n">
        <v>3</v>
      </c>
      <c r="I49" s="4" t="n">
        <v>14.63</v>
      </c>
      <c r="J49" s="4" t="n">
        <v>16.71</v>
      </c>
      <c r="K49" s="16">
        <f>59.99*0.65*H49</f>
        <v/>
      </c>
      <c r="L49" s="4" t="n">
        <v>6302539090</v>
      </c>
      <c r="M49" s="17" t="n"/>
      <c r="N49" s="4" t="n"/>
      <c r="O49" s="4" t="n"/>
      <c r="P49" s="9" t="n"/>
      <c r="Q49" s="9" t="n"/>
      <c r="R49" s="4" t="n"/>
      <c r="S49" s="4" t="n"/>
      <c r="T49" s="4" t="n"/>
      <c r="U49" s="4" t="n"/>
      <c r="V49" s="4" t="n"/>
      <c r="W49" s="4" t="n"/>
      <c r="X49" s="4" t="n"/>
    </row>
    <row r="50" ht="25" customHeight="1" s="15">
      <c r="A50" s="17" t="n"/>
      <c r="B50" s="17" t="n"/>
      <c r="C50" s="9" t="inlineStr">
        <is>
          <t>90圆</t>
        </is>
      </c>
      <c r="D50" s="4" t="inlineStr">
        <is>
          <t>白</t>
        </is>
      </c>
      <c r="E50" s="9" t="inlineStr">
        <is>
          <t>X005395FVN</t>
        </is>
      </c>
      <c r="F50" s="4" t="inlineStr">
        <is>
          <t>内盒25*19*28</t>
        </is>
      </c>
      <c r="G50" s="4" t="inlineStr">
        <is>
          <t>纸箱规格：40*27*58</t>
        </is>
      </c>
      <c r="H50" s="4" t="n">
        <v>4</v>
      </c>
      <c r="I50" s="4" t="n">
        <v>14.78</v>
      </c>
      <c r="J50" s="4" t="n">
        <v>16.92</v>
      </c>
      <c r="K50" s="16">
        <f>44.9*0.6*H50</f>
        <v/>
      </c>
      <c r="L50" s="4" t="n">
        <v>6302539090</v>
      </c>
      <c r="M50" s="18" t="n"/>
      <c r="N50" s="9" t="n"/>
      <c r="O50" s="4" t="n"/>
      <c r="P50" s="9" t="n"/>
      <c r="Q50" s="9" t="n"/>
      <c r="R50" s="4" t="n"/>
      <c r="S50" s="4" t="n"/>
      <c r="T50" s="4" t="n"/>
      <c r="U50" s="4" t="n"/>
      <c r="V50" s="4" t="n"/>
      <c r="W50" s="4" t="n"/>
      <c r="X50" s="4" t="n"/>
    </row>
    <row r="51" ht="25" customHeight="1" s="15">
      <c r="A51" s="17" t="n"/>
      <c r="B51" s="17" t="n"/>
      <c r="C51" s="17" t="n"/>
      <c r="D51" s="4" t="inlineStr">
        <is>
          <t>黑</t>
        </is>
      </c>
      <c r="E51" s="9" t="inlineStr">
        <is>
          <t>X0053992NP</t>
        </is>
      </c>
      <c r="F51" s="4" t="inlineStr">
        <is>
          <t>内盒25*19*28</t>
        </is>
      </c>
      <c r="G51" s="4" t="inlineStr">
        <is>
          <t>纸箱规格：40*27*58</t>
        </is>
      </c>
      <c r="H51" s="4" t="n">
        <v>4</v>
      </c>
      <c r="I51" s="4" t="n">
        <v>14.78</v>
      </c>
      <c r="J51" s="4" t="n">
        <v>16.92</v>
      </c>
      <c r="K51" s="16">
        <f>49.99*0.65*H51</f>
        <v/>
      </c>
      <c r="L51" s="4" t="n">
        <v>6302539090</v>
      </c>
      <c r="M51" s="2" t="n"/>
    </row>
    <row r="52" ht="25" customHeight="1" s="15">
      <c r="A52" s="18" t="n"/>
      <c r="B52" s="18" t="n"/>
      <c r="C52" s="18" t="n"/>
      <c r="D52" s="4" t="inlineStr">
        <is>
          <t>米白</t>
        </is>
      </c>
      <c r="E52" s="9" t="inlineStr">
        <is>
          <t>X0053906ZX</t>
        </is>
      </c>
      <c r="F52" s="4" t="inlineStr">
        <is>
          <t>内盒25*19*28</t>
        </is>
      </c>
      <c r="G52" s="4" t="inlineStr">
        <is>
          <t>纸箱规格：40*27*58</t>
        </is>
      </c>
      <c r="H52" s="4" t="n">
        <v>4</v>
      </c>
      <c r="I52" s="4" t="n">
        <v>14.78</v>
      </c>
      <c r="J52" s="4" t="n">
        <v>16.92</v>
      </c>
      <c r="K52" s="16">
        <f>49.99*0.65*H52</f>
        <v/>
      </c>
      <c r="L52" s="4" t="n">
        <v>6302539090</v>
      </c>
    </row>
    <row r="53" ht="25" customHeight="1" s="15"/>
    <row r="54" ht="25" customHeight="1" s="15"/>
    <row r="55" ht="25" customHeight="1" s="15"/>
    <row r="56" ht="25" customHeight="1" s="15"/>
    <row r="57" ht="25" customHeight="1" s="15"/>
    <row r="58" ht="25" customHeight="1" s="15"/>
    <row r="59" ht="25" customHeight="1" s="15"/>
    <row r="60" ht="25" customHeight="1" s="15"/>
    <row r="61" ht="25" customHeight="1" s="15"/>
    <row r="62" ht="25" customHeight="1" s="15"/>
    <row r="63" ht="25" customHeight="1" s="15"/>
    <row r="64" ht="25" customHeight="1" s="15"/>
    <row r="65" ht="25" customHeight="1" s="15"/>
    <row r="66" ht="25" customHeight="1" s="15"/>
    <row r="67" ht="25" customHeight="1" s="15"/>
    <row r="68" ht="25" customHeight="1" s="15"/>
  </sheetData>
  <mergeCells count="32">
    <mergeCell ref="C5:C8"/>
    <mergeCell ref="C2:C4"/>
    <mergeCell ref="O28:O31"/>
    <mergeCell ref="O37:O40"/>
    <mergeCell ref="C45:C46"/>
    <mergeCell ref="A2:A52"/>
    <mergeCell ref="B22:B38"/>
    <mergeCell ref="C41:C44"/>
    <mergeCell ref="O14:O16"/>
    <mergeCell ref="C35:C38"/>
    <mergeCell ref="C22:C23"/>
    <mergeCell ref="O23:O25"/>
    <mergeCell ref="N27:N40"/>
    <mergeCell ref="O33:O36"/>
    <mergeCell ref="C9:C12"/>
    <mergeCell ref="O7:O9"/>
    <mergeCell ref="C28:C30"/>
    <mergeCell ref="B2:B20"/>
    <mergeCell ref="C31:C34"/>
    <mergeCell ref="N13:N25"/>
    <mergeCell ref="B40:B52"/>
    <mergeCell ref="C17:C20"/>
    <mergeCell ref="O3:O5"/>
    <mergeCell ref="O17:O18"/>
    <mergeCell ref="N2:N11"/>
    <mergeCell ref="M2:M50"/>
    <mergeCell ref="C50:C52"/>
    <mergeCell ref="C13:C16"/>
    <mergeCell ref="O10:O11"/>
    <mergeCell ref="O20:O22"/>
    <mergeCell ref="C47:C49"/>
    <mergeCell ref="C24:C27"/>
  </mergeCells>
  <pageMargins left="0.75" right="0.75" top="1" bottom="1" header="0.511805555555556" footer="0.511805555555556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R43" sqref="R42:R43"/>
    </sheetView>
  </sheetViews>
  <sheetFormatPr baseColWidth="8" defaultColWidth="9" defaultRowHeight="14.25"/>
  <sheetData/>
  <pageMargins left="0.75" right="0.75" top="1" bottom="1" header="0.511805555555556" footer="0.511805555555556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R43" sqref="R42:R43"/>
    </sheetView>
  </sheetViews>
  <sheetFormatPr baseColWidth="8" defaultColWidth="9" defaultRowHeight="14.25"/>
  <sheetData/>
  <pageMargins left="0.75" right="0.75" top="1" bottom="1" header="0.511805555555556" footer="0.511805555555556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2023-05-12T11:23:00Z</dcterms:created>
  <dcterms:modified xsi:type="dcterms:W3CDTF">2026-08-19T09:19:13Z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2052-12.1.0.26895</vt:lpwstr>
  </property>
  <property name="ICV" fmtid="{D5CDD505-2E9C-101B-9397-08002B2CF9AE}" pid="3">
    <vt:lpwstr>2795756564994318B2DDBF6E0C52141E_13</vt:lpwstr>
  </property>
  <property name="CalculationRule" fmtid="{D5CDD505-2E9C-101B-9397-08002B2CF9AE}" pid="4">
    <vt:i4>0</vt:i4>
  </property>
</Properties>
</file>