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.cursor\Cursor-projects\AutoExport\1_Input_Raw\Shipments\EF-C26095-C07-7800_C07_20260829_7800\订单表\"/>
    </mc:Choice>
  </mc:AlternateContent>
  <bookViews>
    <workbookView windowWidth="28800" windowHeight="14175"/>
  </bookViews>
  <sheets>
    <sheet name="Sheet1" sheetId="1" r:id="rId1"/>
  </sheets>
  <definedNames>
    <definedName name="_xlnm.Print_Area" localSheetId="0">Sheet1!$A$1:$J$22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<sst xmlns="http://schemas.openxmlformats.org/spreadsheetml/2006/main" count="63" uniqueCount="45">
  <si>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 xml:space="preserve"> Xuchang E-fashion Electronic Business Co., Ltd.</t>
  </si>
  <si>
    <t>Add: 7th Floor Building Two, E-commerce Industrial Park Furong Road, Rural Intergration Demonstration Area of Xuchang, henan, China</t>
  </si>
  <si>
    <t>TEL:      FAX:    E-MAIL:</t>
  </si>
  <si>
    <t>订单编号：EF-C26095-C07-7800</t>
  </si>
  <si>
    <t>下单日期：</t>
  </si>
  <si>
    <t>2026.08.17</t>
  </si>
  <si>
    <t>交货日期：2026.9.4</t>
  </si>
  <si>
    <t>订单编号</t>
  </si>
  <si>
    <t>产品品类</t>
  </si>
  <si>
    <t>重量</t>
  </si>
  <si>
    <t>尺寸规格</t>
  </si>
  <si>
    <t>颜色</t>
  </si>
  <si>
    <t>数量</t>
  </si>
  <si>
    <t>备注</t>
  </si>
  <si>
    <t>EF-C26095-C07</t>
  </si>
  <si>
    <t>单面磨毛纤维桌布</t>
  </si>
  <si>
    <t>90克/平方米</t>
  </si>
  <si>
    <t>60X102inch</t>
  </si>
  <si>
    <t>米白</t>
  </si>
  <si>
    <t>70X120inch</t>
  </si>
  <si>
    <t>白</t>
  </si>
  <si>
    <t>90 inch round</t>
  </si>
  <si>
    <t>合   计</t>
  </si>
  <si>
    <t>制单：任胜国</t>
  </si>
  <si>
    <t>审核：</t>
  </si>
  <si>
    <t>装 箱 单 明 细</t>
  </si>
  <si>
    <t>颜 色</t>
  </si>
  <si>
    <t>条数/包</t>
  </si>
  <si>
    <t>产品标签</t>
  </si>
  <si>
    <t>包数/箱</t>
  </si>
  <si>
    <t>总箱数</t>
  </si>
  <si>
    <t>总条数</t>
  </si>
  <si>
    <t>箱号</t>
  </si>
  <si>
    <t>内包装尺寸</t>
  </si>
  <si>
    <t>外箱尺寸（长*宽*高）</t>
  </si>
  <si>
    <t>X00510W6CF</t>
  </si>
  <si>
    <t/>
  </si>
  <si>
    <t>内盒25*19*28</t>
  </si>
  <si>
    <t>纸箱：40*27*58</t>
  </si>
  <si>
    <t>X0053BQ5SD</t>
  </si>
  <si>
    <t>内盒18*30*35.5</t>
  </si>
  <si>
    <t>纸箱：57*32*37</t>
  </si>
  <si>
    <t>X0053BIIXN</t>
  </si>
  <si>
    <t>X0053BBGYL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</si>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</sst>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38">
    <font>
      <sz val="11"/>
      <color indexed="8"/>
      <name val="宋体"/>
      <charset val="134"/>
    </font>
    <font>
      <sz val="11"/>
      <color indexed="8"/>
      <name val="Arial"/>
      <charset val="0"/>
    </font>
    <font>
      <b/>
      <sz val="12"/>
      <color indexed="8"/>
      <name val="Arial"/>
      <charset val="0"/>
    </font>
    <font>
      <sz val="16"/>
      <color indexed="8"/>
      <name val="Tahoma"/>
      <charset val="134"/>
    </font>
    <font>
      <sz val="10"/>
      <color indexed="8"/>
      <name val="Tahoma"/>
      <charset val="134"/>
    </font>
    <font>
      <sz val="9"/>
      <color indexed="8"/>
      <name val="Tahoma"/>
      <charset val="134"/>
    </font>
    <font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name val="Arial"/>
      <charset val="0"/>
    </font>
    <font>
      <b/>
      <sz val="12"/>
      <color rgb="FF000000"/>
      <name val="Arial"/>
      <charset val="0"/>
    </font>
    <font>
      <sz val="12"/>
      <name val="Arial"/>
      <charset val="0"/>
    </font>
    <font>
      <sz val="11"/>
      <color rgb="FF000000"/>
      <name val="宋体"/>
      <charset val="134"/>
    </font>
    <font>
      <sz val="9"/>
      <name val="돋움"/>
      <charset val="134"/>
    </font>
    <font>
      <sz val="8"/>
      <name val="돋움"/>
      <charset val="134"/>
    </font>
    <font>
      <sz val="8"/>
      <name val="Arial"/>
      <charset val="0"/>
    </font>
    <font>
      <b/>
      <sz val="12"/>
      <color rgb="FF000000"/>
      <name val="돋움"/>
      <charset val="134"/>
    </font>
    <font>
      <b/>
      <sz val="11"/>
      <color rgb="FF000000"/>
      <name val="宋体"/>
      <charset val="134"/>
    </font>
    <font>
      <b/>
      <sz val="11"/>
      <color indexed="8"/>
      <name val="Arial"/>
      <charset val="0"/>
    </font>
    <font>
      <b/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2"/>
      <name val="宋体"/>
      <charset val="134"/>
    </font>
    <font>
      <sz val="11"/>
      <name val="돋움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4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6" borderId="9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10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7" fillId="0" borderId="0">
      <alignment vertical="center"/>
    </xf>
    <xf numFmtId="0" fontId="28" fillId="7" borderId="12">
      <alignment vertical="center"/>
    </xf>
    <xf numFmtId="0" fontId="29" fillId="8" borderId="13">
      <alignment vertical="center"/>
    </xf>
    <xf numFmtId="0" fontId="30" fillId="8" borderId="12">
      <alignment vertical="center"/>
    </xf>
    <xf numFmtId="0" fontId="31" fillId="3" borderId="14">
      <alignment vertical="center"/>
    </xf>
    <xf numFmtId="0" fontId="32" fillId="0" borderId="15">
      <alignment vertical="center"/>
    </xf>
    <xf numFmtId="0" fontId="19" fillId="0" borderId="16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0" fillId="10" borderId="0">
      <alignment vertical="center"/>
    </xf>
    <xf numFmtId="0" fontId="0" fillId="10" borderId="0">
      <alignment vertical="center"/>
    </xf>
    <xf numFmtId="0" fontId="35" fillId="10" borderId="0">
      <alignment vertical="center"/>
    </xf>
    <xf numFmtId="0" fontId="35" fillId="16" borderId="0">
      <alignment vertical="center"/>
    </xf>
    <xf numFmtId="0" fontId="0" fillId="9" borderId="0">
      <alignment vertical="center"/>
    </xf>
    <xf numFmtId="0" fontId="0" fillId="9" borderId="0">
      <alignment vertical="center"/>
    </xf>
    <xf numFmtId="0" fontId="35" fillId="9" borderId="0">
      <alignment vertical="center"/>
    </xf>
    <xf numFmtId="0" fontId="35" fillId="17" borderId="0">
      <alignment vertical="center"/>
    </xf>
    <xf numFmtId="0" fontId="0" fillId="18" borderId="0">
      <alignment vertical="center"/>
    </xf>
    <xf numFmtId="0" fontId="0" fillId="18" borderId="0">
      <alignment vertical="center"/>
    </xf>
    <xf numFmtId="0" fontId="35" fillId="18" borderId="0">
      <alignment vertical="center"/>
    </xf>
    <xf numFmtId="0" fontId="35" fillId="12" borderId="0">
      <alignment vertical="center"/>
    </xf>
    <xf numFmtId="0" fontId="0" fillId="19" borderId="0">
      <alignment vertical="center"/>
    </xf>
    <xf numFmtId="0" fontId="0" fillId="14" borderId="0">
      <alignment vertical="center"/>
    </xf>
    <xf numFmtId="0" fontId="35" fillId="14" borderId="0">
      <alignment vertical="center"/>
    </xf>
    <xf numFmtId="0" fontId="35" fillId="20" borderId="0">
      <alignment vertical="center"/>
    </xf>
    <xf numFmtId="0" fontId="0" fillId="7" borderId="0">
      <alignment vertical="center"/>
    </xf>
    <xf numFmtId="0" fontId="0" fillId="7" borderId="0">
      <alignment vertical="center"/>
    </xf>
    <xf numFmtId="0" fontId="35" fillId="7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7" fillId="0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1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vertical="center"/>
    </xf>
    <xf numFmtId="176" fontId="9" fillId="0" borderId="0" xfId="53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8" fontId="13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vertical="center"/>
    </xf>
    <xf numFmtId="176" fontId="15" fillId="0" borderId="0" xfId="0" applyNumberFormat="1" applyFont="1" applyAlignment="1">
      <alignment horizontal="center" vertical="center"/>
    </xf>
    <xf numFmtId="176" fontId="15" fillId="0" borderId="0" xfId="53" applyNumberFormat="1" applyFont="1" applyAlignment="1">
      <alignment horizontal="right" vertical="center"/>
    </xf>
    <xf numFmtId="176" fontId="16" fillId="0" borderId="0" xfId="0" applyNumberFormat="1" applyFont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7" fillId="4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18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7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55"/>
  <sheetViews>
    <sheetView tabSelected="1" zoomScale="85" zoomScaleNormal="85" workbookViewId="0">
      <selection activeCell="I10" sqref="I10"/>
    </sheetView>
  </sheetViews>
  <sheetFormatPr defaultColWidth="9" defaultRowHeight="13.5" customHeight="1"/>
  <cols>
    <col min="1" max="1" width="20.25" style="4" customWidth="1"/>
    <col min="2" max="3" width="17.5" style="4" customWidth="1"/>
    <col min="4" max="4" width="17.25" style="1" customWidth="1"/>
    <col min="5" max="5" width="12.75" style="1" customWidth="1"/>
    <col min="6" max="6" width="21.5" style="4" customWidth="1"/>
    <col min="7" max="7" width="12.5" style="4" customWidth="1"/>
    <col min="8" max="8" width="16.625" style="4" customWidth="1"/>
    <col min="9" max="9" width="20.5" style="4" customWidth="1"/>
    <col min="10" max="10" width="24.5" style="1" customWidth="1"/>
    <col min="11" max="18" width="5.625" style="4" customWidth="1"/>
  </cols>
  <sheetData>
    <row r="1" ht="36.75" customHeight="1" spans="1:33">
      <c r="A1" s="1"/>
      <c r="C1" s="1"/>
      <c r="D1" s="5" t="s">
        <v>0</v>
      </c>
      <c r="I1" s="6"/>
    </row>
    <row r="2" ht="41" customHeight="1" spans="1:33">
      <c r="C2" s="1"/>
      <c r="D2" s="7" t="s">
        <v>1</v>
      </c>
      <c r="I2" s="8"/>
    </row>
    <row r="3" ht="21.75" customHeight="1" spans="1:33">
      <c r="C3" s="1"/>
      <c r="D3" s="7"/>
      <c r="E3" s="7"/>
      <c r="F3" s="8"/>
      <c r="G3" s="8"/>
      <c r="H3" s="8"/>
      <c r="I3" s="8"/>
    </row>
    <row r="4" spans="1:33">
      <c r="C4" s="1"/>
      <c r="D4" s="9" t="s">
        <v>2</v>
      </c>
    </row>
    <row r="5" s="1" customFormat="1" ht="15" customHeight="1" spans="1:33">
      <c r="A5" s="10"/>
    </row>
    <row r="6" s="2" customFormat="1" ht="51" customHeight="1" spans="1:33">
      <c r="A6" s="11" t="s">
        <v>3</v>
      </c>
      <c r="B6" s="11"/>
      <c r="C6" s="11"/>
      <c r="D6" s="12" t="s">
        <v>4</v>
      </c>
      <c r="E6" s="12" t="s">
        <v>5</v>
      </c>
      <c r="F6" s="13"/>
      <c r="G6" s="12" t="s">
        <v>6</v>
      </c>
      <c r="H6" s="14"/>
      <c r="J6" s="15"/>
    </row>
    <row r="7" s="1" customFormat="1" ht="38" customHeight="1"/>
    <row r="8" s="3" customFormat="1" ht="32" customHeight="1" spans="1:33">
      <c r="A8" s="16" t="s">
        <v>7</v>
      </c>
      <c r="B8" s="16" t="s">
        <v>8</v>
      </c>
      <c r="C8" s="16" t="s">
        <v>9</v>
      </c>
      <c r="D8" s="16" t="s">
        <v>10</v>
      </c>
      <c r="E8" s="16" t="s">
        <v>11</v>
      </c>
      <c r="F8" s="16" t="s">
        <v>12</v>
      </c>
      <c r="G8" s="17" t="s">
        <v>13</v>
      </c>
      <c r="H8" s="18"/>
      <c r="I8" s="18"/>
      <c r="J8" s="19"/>
      <c r="K8" s="19"/>
      <c r="L8" s="20"/>
      <c r="M8" s="20"/>
      <c r="N8" s="20"/>
      <c r="O8" s="19"/>
      <c r="P8" s="19"/>
      <c r="Q8" s="19"/>
      <c r="R8" s="20"/>
      <c r="S8" s="19"/>
      <c r="T8" s="19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21"/>
      <c r="AG8" s="22"/>
    </row>
    <row r="9" ht="41" customHeight="1" spans="1:33">
      <c r="A9" s="23" t="s">
        <v>14</v>
      </c>
      <c r="B9" s="24" t="s">
        <v>15</v>
      </c>
      <c r="C9" s="24" t="s">
        <v>16</v>
      </c>
      <c r="D9" s="25" t="s">
        <v>17</v>
      </c>
      <c r="E9" s="26" t="s">
        <v>18</v>
      </c>
      <c r="F9" s="26">
        <f>G18</f>
        <v>4000</v>
      </c>
      <c r="G9" s="27"/>
      <c r="H9" s="28"/>
      <c r="I9" s="28"/>
      <c r="J9" s="29"/>
      <c r="K9" s="29"/>
      <c r="L9" s="30"/>
      <c r="M9" s="30"/>
      <c r="N9" s="30"/>
      <c r="O9" s="31"/>
      <c r="P9" s="31"/>
      <c r="Q9" s="31"/>
      <c r="R9" s="30"/>
      <c r="S9" s="31"/>
      <c r="T9" s="3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32"/>
      <c r="AG9" s="33"/>
    </row>
    <row r="10" ht="41" customHeight="1" spans="1:33">
      <c r="A10" s="34"/>
      <c r="B10" s="34"/>
      <c r="C10" s="34"/>
      <c r="D10" s="25" t="s">
        <v>19</v>
      </c>
      <c r="E10" s="26" t="s">
        <v>20</v>
      </c>
      <c r="F10" s="26">
        <f>G19</f>
        <v>1500</v>
      </c>
      <c r="G10" s="27"/>
      <c r="H10" s="28"/>
      <c r="I10" s="28"/>
      <c r="J10" s="29"/>
      <c r="K10" s="29"/>
      <c r="L10" s="30"/>
      <c r="M10" s="30"/>
      <c r="N10" s="30"/>
      <c r="O10" s="31"/>
      <c r="P10" s="31"/>
      <c r="Q10" s="31"/>
      <c r="R10" s="30"/>
      <c r="S10" s="31"/>
      <c r="T10" s="3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2"/>
      <c r="AG10" s="33"/>
    </row>
    <row r="11" ht="41" customHeight="1" spans="1:33">
      <c r="A11" s="34"/>
      <c r="B11" s="34"/>
      <c r="C11" s="34"/>
      <c r="D11" s="35"/>
      <c r="E11" s="26" t="s">
        <v>18</v>
      </c>
      <c r="F11" s="26">
        <f>G20</f>
        <v>1500</v>
      </c>
      <c r="G11" s="27"/>
      <c r="H11" s="28"/>
      <c r="I11" s="28"/>
      <c r="J11" s="29"/>
      <c r="K11" s="29"/>
      <c r="L11" s="30"/>
      <c r="M11" s="30"/>
      <c r="N11" s="30"/>
      <c r="O11" s="31"/>
      <c r="P11" s="31"/>
      <c r="Q11" s="31"/>
      <c r="R11" s="30"/>
      <c r="S11" s="31"/>
      <c r="T11" s="3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2"/>
      <c r="AG11" s="33"/>
    </row>
    <row r="12" ht="41" customHeight="1" spans="1:33">
      <c r="A12" s="34"/>
      <c r="B12" s="34"/>
      <c r="C12" s="34"/>
      <c r="D12" s="25" t="s">
        <v>21</v>
      </c>
      <c r="E12" s="26" t="s">
        <v>18</v>
      </c>
      <c r="F12" s="26">
        <f>G21</f>
        <v>800</v>
      </c>
      <c r="G12" s="27"/>
      <c r="H12" s="28"/>
      <c r="I12" s="28"/>
      <c r="J12" s="29"/>
      <c r="K12" s="29"/>
      <c r="L12" s="30"/>
      <c r="M12" s="30"/>
      <c r="N12" s="30"/>
      <c r="O12" s="31"/>
      <c r="P12" s="31"/>
      <c r="Q12" s="31"/>
      <c r="R12" s="30"/>
      <c r="S12" s="31"/>
      <c r="T12" s="3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32"/>
      <c r="AG12" s="33"/>
    </row>
    <row r="13" ht="26.1" customHeight="1" spans="1:33">
      <c r="A13" s="36" t="s">
        <v>22</v>
      </c>
      <c r="B13" s="37"/>
      <c r="C13" s="37"/>
      <c r="D13" s="37"/>
      <c r="E13" s="37"/>
      <c r="F13" s="38">
        <f>SUM(F9:F12)</f>
        <v>7800</v>
      </c>
      <c r="G13" s="39"/>
      <c r="H13"/>
      <c r="I13" s="40"/>
    </row>
    <row r="14" ht="41" customHeight="1"/>
    <row r="15" ht="41" customHeight="1" spans="1:33">
      <c r="A15" t="s">
        <v>23</v>
      </c>
      <c r="F15" t="s">
        <v>24</v>
      </c>
    </row>
    <row r="16" ht="41" customHeight="1" spans="1:33">
      <c r="A16" s="41" t="s">
        <v>25</v>
      </c>
    </row>
    <row r="17" ht="34" customHeight="1" spans="1:10">
      <c r="A17" s="42" t="s">
        <v>10</v>
      </c>
      <c r="B17" s="43" t="s">
        <v>26</v>
      </c>
      <c r="C17" s="44" t="s">
        <v>27</v>
      </c>
      <c r="D17" s="44" t="s">
        <v>28</v>
      </c>
      <c r="E17" s="44" t="s">
        <v>29</v>
      </c>
      <c r="F17" s="44" t="s">
        <v>30</v>
      </c>
      <c r="G17" s="44" t="s">
        <v>31</v>
      </c>
      <c r="H17" s="44" t="s">
        <v>32</v>
      </c>
      <c r="I17" s="44" t="s">
        <v>33</v>
      </c>
      <c r="J17" s="45" t="s">
        <v>34</v>
      </c>
    </row>
    <row r="18" ht="34" customHeight="1" spans="1:10">
      <c r="A18" s="26" t="s">
        <v>17</v>
      </c>
      <c r="B18" s="26" t="s">
        <v>18</v>
      </c>
      <c r="C18" s="26">
        <v>10</v>
      </c>
      <c r="D18" s="26" t="s">
        <v>35</v>
      </c>
      <c r="E18" s="26">
        <v>4</v>
      </c>
      <c r="F18" s="26">
        <v>100</v>
      </c>
      <c r="G18" s="26">
        <f>C18*E18*F18</f>
        <v>4000</v>
      </c>
      <c r="H18" s="26" t="s">
        <v>36</v>
      </c>
      <c r="I18" s="46" t="s">
        <v>37</v>
      </c>
      <c r="J18" s="47" t="s">
        <v>38</v>
      </c>
    </row>
    <row r="19" ht="34" customHeight="1" spans="1:10">
      <c r="A19" s="26" t="s">
        <v>19</v>
      </c>
      <c r="B19" s="26" t="s">
        <v>20</v>
      </c>
      <c r="C19" s="26">
        <v>10</v>
      </c>
      <c r="D19" s="26" t="s">
        <v>39</v>
      </c>
      <c r="E19" s="26">
        <v>3</v>
      </c>
      <c r="F19" s="26">
        <v>50</v>
      </c>
      <c r="G19" s="26">
        <f>C19*E19*F19</f>
        <v>1500</v>
      </c>
      <c r="H19" s="26" t="s">
        <v>36</v>
      </c>
      <c r="I19" s="46" t="s">
        <v>40</v>
      </c>
      <c r="J19" s="47" t="s">
        <v>41</v>
      </c>
    </row>
    <row r="20" ht="34" customHeight="1" spans="1:10">
      <c r="A20" s="26" t="s">
        <v>19</v>
      </c>
      <c r="B20" s="26" t="s">
        <v>18</v>
      </c>
      <c r="C20" s="26">
        <v>10</v>
      </c>
      <c r="D20" s="26" t="s">
        <v>42</v>
      </c>
      <c r="E20" s="26">
        <v>3</v>
      </c>
      <c r="F20" s="26">
        <v>50</v>
      </c>
      <c r="G20" s="26">
        <f>C20*E20*F20</f>
        <v>1500</v>
      </c>
      <c r="H20" s="26" t="s">
        <v>36</v>
      </c>
      <c r="I20" s="46" t="s">
        <v>40</v>
      </c>
      <c r="J20" s="47" t="s">
        <v>41</v>
      </c>
    </row>
    <row r="21" ht="34" customHeight="1" spans="1:10">
      <c r="A21" s="26" t="s">
        <v>21</v>
      </c>
      <c r="B21" s="26" t="s">
        <v>18</v>
      </c>
      <c r="C21" s="26">
        <v>10</v>
      </c>
      <c r="D21" s="26" t="s">
        <v>43</v>
      </c>
      <c r="E21" s="26">
        <v>4</v>
      </c>
      <c r="F21" s="26">
        <v>20</v>
      </c>
      <c r="G21" s="26">
        <f>C21*E21*F21</f>
        <v>800</v>
      </c>
      <c r="H21" s="26" t="s">
        <v>36</v>
      </c>
      <c r="I21" s="46" t="s">
        <v>37</v>
      </c>
      <c r="J21" s="47" t="s">
        <v>38</v>
      </c>
    </row>
    <row r="22" ht="34" customHeight="1" spans="1:10">
      <c r="A22" s="48" t="s">
        <v>44</v>
      </c>
      <c r="B22" s="37"/>
      <c r="C22" s="37"/>
      <c r="D22" s="37"/>
      <c r="E22" s="37"/>
      <c r="F22" s="48">
        <f>SUM(F18:F21)</f>
        <v>220</v>
      </c>
      <c r="G22" s="48">
        <f>SUM(G18:G21)</f>
        <v>7800</v>
      </c>
      <c r="H22" s="48"/>
      <c r="I22" s="48"/>
      <c r="J22" s="48"/>
    </row>
    <row r="23" ht="51" customHeight="1"/>
    <row r="24" ht="34" customHeight="1"/>
    <row r="25" ht="34" customHeight="1"/>
    <row r="26" ht="34" customHeight="1"/>
    <row r="27" ht="34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34" customHeight="1"/>
    <row r="35" ht="34" customHeight="1"/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</sheetData>
  <mergeCells count="13">
    <mergeCell ref="D1:H1"/>
    <mergeCell ref="D2:H2"/>
    <mergeCell ref="D4:I4"/>
    <mergeCell ref="A5:I5"/>
    <mergeCell ref="G6:H6"/>
    <mergeCell ref="A13:E13"/>
    <mergeCell ref="A16:I16"/>
    <mergeCell ref="A22:E22"/>
    <mergeCell ref="A9:A12"/>
    <mergeCell ref="B9:B12"/>
    <mergeCell ref="C9:C12"/>
    <mergeCell ref="D10:D11"/>
    <mergeCell ref="A1:B4"/>
  </mergeCells>
  <pageMargins left="0.71" right="0.71" top="0.75" bottom="0.75" header="0.31" footer="0.31"/>
  <pageSetup paperSize="9" scale="84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马静</dc:creator>
  <cp:lastModifiedBy>一瓢</cp:lastModifiedBy>
  <cp:revision>1</cp:revision>
  <dcterms:created xsi:type="dcterms:W3CDTF">2016-11-01T12:53:00Z</dcterms:created>
  <dcterms:modified xsi:type="dcterms:W3CDTF">2026-08-17T06:13:45Z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638BA26AD02A4DFFA72075E8A08B0377_13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