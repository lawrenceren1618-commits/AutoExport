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按回款
</t>
        </r>
      </text>
    </comment>
  </commentList>
</comments>
</file>

<file path=xl/sharedStrings.xml><?xml version="1.0" encoding="utf-8"?>
<sst xmlns="http://schemas.openxmlformats.org/spreadsheetml/2006/main" count="109" uniqueCount="79">
  <si>
    <t>每包售价</t>
  </si>
  <si>
    <t>每包条数</t>
  </si>
  <si>
    <t>每条单价</t>
  </si>
  <si>
    <t>每箱单价</t>
  </si>
  <si>
    <t>规格</t>
  </si>
  <si>
    <t>FBA仓库</t>
  </si>
  <si>
    <t>SWF2</t>
  </si>
  <si>
    <t>MCC1</t>
  </si>
  <si>
    <t>FTW1</t>
  </si>
  <si>
    <t>AVP1</t>
  </si>
  <si>
    <t>RDU2</t>
  </si>
  <si>
    <t>合计箱数</t>
  </si>
  <si>
    <t>尺寸</t>
  </si>
  <si>
    <t>每条净重</t>
  </si>
  <si>
    <t>每箱净重</t>
  </si>
  <si>
    <t>包材重量</t>
  </si>
  <si>
    <t>毛重</t>
  </si>
  <si>
    <t>仓库</t>
  </si>
  <si>
    <t>总净重</t>
  </si>
  <si>
    <t>总毛重</t>
  </si>
  <si>
    <t>90克桌布</t>
  </si>
  <si>
    <t>60圆</t>
  </si>
  <si>
    <t>110克桌布</t>
  </si>
  <si>
    <t>90圆</t>
  </si>
  <si>
    <t>84黑</t>
  </si>
  <si>
    <t>102-2条</t>
  </si>
  <si>
    <t>102-6条</t>
  </si>
  <si>
    <t>102-10条</t>
  </si>
  <si>
    <t>126白</t>
  </si>
  <si>
    <t>126-10</t>
  </si>
  <si>
    <t>70*120-2条</t>
  </si>
  <si>
    <t>70*120-2</t>
  </si>
  <si>
    <t>70*120-6条</t>
  </si>
  <si>
    <t>70*120-6</t>
  </si>
  <si>
    <t>70*120-10条</t>
  </si>
  <si>
    <t>70*120-10</t>
  </si>
  <si>
    <t>90圆-2条</t>
  </si>
  <si>
    <t>90圆-2</t>
  </si>
  <si>
    <t>90圆-6条</t>
  </si>
  <si>
    <t>90圆-6</t>
  </si>
  <si>
    <t>90圆-10条</t>
  </si>
  <si>
    <t>90圆-10</t>
  </si>
  <si>
    <t>桌旗</t>
  </si>
  <si>
    <t>6条装</t>
  </si>
  <si>
    <t>桌旗-35*120</t>
  </si>
  <si>
    <t>10条装</t>
  </si>
  <si>
    <t>150克桌布</t>
  </si>
  <si>
    <t>84白-2</t>
  </si>
  <si>
    <t>84白-6</t>
  </si>
  <si>
    <t>102白-2</t>
  </si>
  <si>
    <t>102白-6</t>
  </si>
  <si>
    <t>每个仓库箱数</t>
  </si>
  <si>
    <t>合计</t>
  </si>
  <si>
    <t>SBD1</t>
  </si>
  <si>
    <t>产品数</t>
  </si>
  <si>
    <t>金额</t>
  </si>
  <si>
    <t>单价</t>
  </si>
  <si>
    <t>净重</t>
  </si>
  <si>
    <t>箱数</t>
  </si>
  <si>
    <t>运费</t>
  </si>
  <si>
    <t>入库配置费</t>
  </si>
  <si>
    <t>总费用</t>
  </si>
  <si>
    <t>C26006剩余350</t>
  </si>
  <si>
    <t>单点</t>
  </si>
  <si>
    <t>psc2</t>
  </si>
  <si>
    <t>2026.4.29发货500箱</t>
  </si>
  <si>
    <t>五仓</t>
  </si>
  <si>
    <t>ONT8</t>
  </si>
  <si>
    <t>FWA4</t>
  </si>
  <si>
    <t>PSC2</t>
  </si>
  <si>
    <t>MEM1</t>
  </si>
  <si>
    <t>ABE8</t>
  </si>
  <si>
    <t>美东</t>
  </si>
  <si>
    <t>GYR3</t>
  </si>
  <si>
    <t>C26028</t>
  </si>
  <si>
    <t>POC3</t>
  </si>
  <si>
    <t>avp1</t>
  </si>
  <si>
    <t>RFD2</t>
  </si>
  <si>
    <t>HEA2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</si>
</sst>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.00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7" borderId="10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8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0" borderId="1" xfId="0" applyNumberFormat="1" applyBorder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8"/>
  <sheetViews>
    <sheetView tabSelected="1" topLeftCell="A13" workbookViewId="0">
      <selection activeCell="I37" sqref="I37"/>
    </sheetView>
  </sheetViews>
  <sheetFormatPr defaultColWidth="8.725" defaultRowHeight="13.5"/>
  <cols>
    <col min="3" max="4" width="10.375" style="1" customWidth="1"/>
    <col min="5" max="5" width="9.375"/>
    <col min="6" max="12" width="12.6333333333333" customWidth="1"/>
    <col min="13" max="14" width="12.625"/>
    <col min="16" max="19" width="12.625"/>
    <col min="20" max="20" width="8.625" customWidth="1"/>
    <col min="21" max="23" width="12.625"/>
  </cols>
  <sheetData>
    <row r="1" ht="25" customHeight="1" spans="1:22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6" t="s">
        <v>18</v>
      </c>
      <c r="V1" s="7" t="s">
        <v>19</v>
      </c>
    </row>
    <row r="2" ht="33" customHeight="1" spans="1:22">
      <c r="A2" s="2"/>
      <c r="B2" s="2"/>
      <c r="C2" s="8"/>
      <c r="D2" s="8"/>
      <c r="E2" s="9" t="s">
        <v>20</v>
      </c>
      <c r="F2" s="10" t="s">
        <v>21</v>
      </c>
      <c r="G2" s="2"/>
      <c r="H2" s="2"/>
      <c r="I2" s="2"/>
      <c r="J2" s="2"/>
      <c r="K2" s="2"/>
      <c r="L2" s="7">
        <f>SUM(G2:K2)</f>
        <v>0</v>
      </c>
      <c r="N2" s="11" t="s">
        <v>22</v>
      </c>
      <c r="O2" s="2" t="s">
        <v>21</v>
      </c>
      <c r="P2" s="12">
        <f>1.832*90/1000</f>
        <v>0.16488</v>
      </c>
      <c r="Q2" s="12">
        <f>P2*90</f>
        <v>14.8392</v>
      </c>
      <c r="R2" s="12">
        <f>1.18+0.16</f>
        <v>1.34</v>
      </c>
      <c r="S2" s="12">
        <f t="shared" ref="S2:S15" si="0">Q2+R2</f>
        <v>16.1792</v>
      </c>
      <c r="T2" s="12"/>
      <c r="U2" s="12">
        <f t="shared" ref="U2:U11" si="1">L2*Q2</f>
        <v>0</v>
      </c>
      <c r="V2" s="12">
        <f t="shared" ref="V2:V11" si="2">S2*L2</f>
        <v>0</v>
      </c>
    </row>
    <row r="3" ht="33" customHeight="1" spans="1:22">
      <c r="A3" s="2"/>
      <c r="B3" s="2"/>
      <c r="C3" s="8"/>
      <c r="D3" s="8"/>
      <c r="E3" s="13"/>
      <c r="F3" s="10" t="s">
        <v>23</v>
      </c>
      <c r="G3" s="2"/>
      <c r="H3" s="2"/>
      <c r="I3" s="2"/>
      <c r="J3" s="2"/>
      <c r="K3" s="2"/>
      <c r="L3" s="7">
        <f t="shared" ref="L3:L22" si="3">SUM(G3:K3)</f>
        <v>0</v>
      </c>
      <c r="N3" s="14"/>
      <c r="O3" s="2" t="s">
        <v>23</v>
      </c>
      <c r="P3" s="12">
        <f>4.1043*90/1000</f>
        <v>0.369387</v>
      </c>
      <c r="Q3" s="12">
        <f>P3*42</f>
        <v>15.514254</v>
      </c>
      <c r="R3" s="12">
        <f>0.86+0.14</f>
        <v>1</v>
      </c>
      <c r="S3" s="12">
        <f t="shared" si="0"/>
        <v>16.514254</v>
      </c>
      <c r="T3" s="12"/>
      <c r="U3" s="12">
        <f t="shared" si="1"/>
        <v>0</v>
      </c>
      <c r="V3" s="12">
        <f t="shared" si="2"/>
        <v>0</v>
      </c>
    </row>
    <row r="4" ht="36" customHeight="1" spans="1:22">
      <c r="A4" s="2">
        <v>19.99</v>
      </c>
      <c r="B4" s="2">
        <v>6</v>
      </c>
      <c r="C4" s="8">
        <f t="shared" ref="C4:C15" si="4">A4/B4</f>
        <v>3.33166666666667</v>
      </c>
      <c r="D4" s="8">
        <f>48*C4</f>
        <v>159.92</v>
      </c>
      <c r="E4" s="13"/>
      <c r="F4" s="10" t="s">
        <v>24</v>
      </c>
      <c r="G4" s="2"/>
      <c r="H4" s="2"/>
      <c r="I4" s="2"/>
      <c r="J4" s="2"/>
      <c r="K4" s="2"/>
      <c r="L4" s="7">
        <f t="shared" si="3"/>
        <v>0</v>
      </c>
      <c r="N4" s="14"/>
      <c r="O4" s="2">
        <v>84</v>
      </c>
      <c r="P4" s="12">
        <f>60*2.54*84*2.54/10000*0.09</f>
        <v>0.292644576</v>
      </c>
      <c r="Q4" s="12">
        <f>P4*48</f>
        <v>14.046939648</v>
      </c>
      <c r="R4" s="12">
        <f>1.18+0.08</f>
        <v>1.26</v>
      </c>
      <c r="S4" s="12">
        <f t="shared" si="0"/>
        <v>15.306939648</v>
      </c>
      <c r="T4" s="12"/>
      <c r="U4" s="12">
        <f t="shared" si="1"/>
        <v>0</v>
      </c>
      <c r="V4" s="12">
        <f t="shared" si="2"/>
        <v>0</v>
      </c>
    </row>
    <row r="5" ht="36" customHeight="1" spans="1:22">
      <c r="A5" s="2">
        <v>9.99</v>
      </c>
      <c r="B5" s="2">
        <v>2</v>
      </c>
      <c r="C5" s="8">
        <f t="shared" si="4"/>
        <v>4.995</v>
      </c>
      <c r="D5" s="8">
        <f>C5*40</f>
        <v>199.8</v>
      </c>
      <c r="E5" s="13"/>
      <c r="F5" s="10" t="s">
        <v>25</v>
      </c>
      <c r="G5" s="2"/>
      <c r="H5" s="2"/>
      <c r="I5" s="2"/>
      <c r="J5" s="2"/>
      <c r="K5" s="2"/>
      <c r="L5" s="7">
        <f t="shared" si="3"/>
        <v>0</v>
      </c>
      <c r="N5" s="14"/>
      <c r="O5" s="10" t="s">
        <v>25</v>
      </c>
      <c r="P5" s="12">
        <f>60*2.54*102*2.54/10000*0.09</f>
        <v>0.355354128</v>
      </c>
      <c r="Q5" s="12">
        <f>P5*40</f>
        <v>14.21416512</v>
      </c>
      <c r="R5" s="12">
        <f>1.18+0.2</f>
        <v>1.38</v>
      </c>
      <c r="S5" s="12">
        <f t="shared" si="0"/>
        <v>15.59416512</v>
      </c>
      <c r="T5" s="12"/>
      <c r="U5" s="12">
        <f t="shared" si="1"/>
        <v>0</v>
      </c>
      <c r="V5" s="12">
        <f t="shared" si="2"/>
        <v>0</v>
      </c>
    </row>
    <row r="6" ht="25" customHeight="1" spans="1:22">
      <c r="A6" s="2">
        <v>28.99</v>
      </c>
      <c r="B6" s="2">
        <v>6</v>
      </c>
      <c r="C6" s="8">
        <f t="shared" si="4"/>
        <v>4.83166666666667</v>
      </c>
      <c r="D6" s="3">
        <f>C6*42</f>
        <v>202.93</v>
      </c>
      <c r="E6" s="13"/>
      <c r="F6" s="10" t="s">
        <v>26</v>
      </c>
      <c r="G6" s="2"/>
      <c r="H6" s="2"/>
      <c r="I6" s="2"/>
      <c r="J6" s="2"/>
      <c r="K6" s="2"/>
      <c r="L6" s="7">
        <f t="shared" si="3"/>
        <v>0</v>
      </c>
      <c r="N6" s="14"/>
      <c r="O6" s="2" t="s">
        <v>26</v>
      </c>
      <c r="P6" s="12">
        <f>60*2.54*102*2.54/10000*0.09</f>
        <v>0.355354128</v>
      </c>
      <c r="Q6" s="12">
        <f>P6*42</f>
        <v>14.924873376</v>
      </c>
      <c r="R6" s="12">
        <f>1.18+0.07</f>
        <v>1.25</v>
      </c>
      <c r="S6" s="12">
        <f t="shared" si="0"/>
        <v>16.174873376</v>
      </c>
      <c r="T6" s="12"/>
      <c r="U6" s="12">
        <f t="shared" si="1"/>
        <v>0</v>
      </c>
      <c r="V6" s="12">
        <f t="shared" si="2"/>
        <v>0</v>
      </c>
    </row>
    <row r="7" ht="25" customHeight="1" spans="1:22">
      <c r="A7" s="2">
        <v>34.99</v>
      </c>
      <c r="B7" s="2">
        <v>10</v>
      </c>
      <c r="C7" s="8">
        <f t="shared" si="4"/>
        <v>3.499</v>
      </c>
      <c r="D7" s="3">
        <f>C7*40</f>
        <v>139.96</v>
      </c>
      <c r="E7" s="13"/>
      <c r="F7" s="10" t="s">
        <v>27</v>
      </c>
      <c r="G7" s="2"/>
      <c r="H7" s="2"/>
      <c r="I7" s="2"/>
      <c r="J7" s="2"/>
      <c r="K7" s="2"/>
      <c r="L7" s="7">
        <f t="shared" si="3"/>
        <v>0</v>
      </c>
      <c r="N7" s="14"/>
      <c r="O7" s="2" t="s">
        <v>27</v>
      </c>
      <c r="P7" s="12">
        <f>60*2.54*102*2.54/10000*0.09</f>
        <v>0.355354128</v>
      </c>
      <c r="Q7" s="12">
        <f>P7*40</f>
        <v>14.21416512</v>
      </c>
      <c r="R7" s="12">
        <f>0.86+0.32*4</f>
        <v>2.14</v>
      </c>
      <c r="S7" s="12">
        <f t="shared" si="0"/>
        <v>16.35416512</v>
      </c>
      <c r="T7" s="12"/>
      <c r="U7" s="12">
        <f t="shared" si="1"/>
        <v>0</v>
      </c>
      <c r="V7" s="12">
        <f t="shared" si="2"/>
        <v>0</v>
      </c>
    </row>
    <row r="8" ht="25" customHeight="1" spans="1:22">
      <c r="A8" s="2">
        <v>34.99</v>
      </c>
      <c r="B8" s="2">
        <v>6</v>
      </c>
      <c r="C8" s="8">
        <f t="shared" si="4"/>
        <v>5.83166666666667</v>
      </c>
      <c r="D8" s="3">
        <f>C8*36</f>
        <v>209.94</v>
      </c>
      <c r="E8" s="13"/>
      <c r="F8" s="10" t="s">
        <v>28</v>
      </c>
      <c r="G8" s="2"/>
      <c r="H8" s="2"/>
      <c r="I8" s="2"/>
      <c r="J8" s="2"/>
      <c r="K8" s="2"/>
      <c r="L8" s="7">
        <f t="shared" si="3"/>
        <v>0</v>
      </c>
      <c r="N8" s="14"/>
      <c r="O8" s="2">
        <v>126</v>
      </c>
      <c r="P8" s="12">
        <f>60*2.54*126*2.54/10000*0.09</f>
        <v>0.438966864</v>
      </c>
      <c r="Q8" s="12">
        <f>P8*36</f>
        <v>15.802807104</v>
      </c>
      <c r="R8" s="12">
        <f>1.3+0.15*6</f>
        <v>2.2</v>
      </c>
      <c r="S8" s="12">
        <f t="shared" si="0"/>
        <v>18.002807104</v>
      </c>
      <c r="T8" s="12"/>
      <c r="U8" s="12">
        <f t="shared" si="1"/>
        <v>0</v>
      </c>
      <c r="V8" s="12">
        <f t="shared" si="2"/>
        <v>0</v>
      </c>
    </row>
    <row r="9" ht="25" customHeight="1" spans="1:22">
      <c r="A9" s="2">
        <v>44.99</v>
      </c>
      <c r="B9" s="2">
        <v>10</v>
      </c>
      <c r="C9" s="8">
        <f t="shared" si="4"/>
        <v>4.499</v>
      </c>
      <c r="D9" s="3">
        <f>C9*30</f>
        <v>134.97</v>
      </c>
      <c r="E9" s="13"/>
      <c r="F9" s="10" t="s">
        <v>29</v>
      </c>
      <c r="G9" s="2"/>
      <c r="H9" s="2"/>
      <c r="I9" s="2"/>
      <c r="J9" s="2"/>
      <c r="K9" s="2"/>
      <c r="L9" s="7">
        <f t="shared" si="3"/>
        <v>0</v>
      </c>
      <c r="N9" s="14"/>
      <c r="O9" s="2" t="s">
        <v>29</v>
      </c>
      <c r="P9" s="12">
        <f>60*2.54*126*2.54/10000*0.09</f>
        <v>0.438966864</v>
      </c>
      <c r="Q9" s="12">
        <f>P9*30</f>
        <v>13.16900592</v>
      </c>
      <c r="R9" s="12">
        <f>1.3+0.3*3</f>
        <v>2.2</v>
      </c>
      <c r="S9" s="12">
        <f t="shared" si="0"/>
        <v>15.36900592</v>
      </c>
      <c r="T9" s="12"/>
      <c r="U9" s="12">
        <f t="shared" si="1"/>
        <v>0</v>
      </c>
      <c r="V9" s="12">
        <f t="shared" si="2"/>
        <v>0</v>
      </c>
    </row>
    <row r="10" ht="25" customHeight="1" spans="1:22">
      <c r="A10" s="2">
        <v>16.99</v>
      </c>
      <c r="B10" s="2">
        <v>2</v>
      </c>
      <c r="C10" s="8">
        <f t="shared" si="4"/>
        <v>8.495</v>
      </c>
      <c r="D10" s="3">
        <f>C10*30</f>
        <v>254.85</v>
      </c>
      <c r="E10" s="13"/>
      <c r="F10" s="10" t="s">
        <v>30</v>
      </c>
      <c r="G10" s="2"/>
      <c r="H10" s="2"/>
      <c r="I10" s="2"/>
      <c r="J10" s="2"/>
      <c r="K10" s="2"/>
      <c r="L10" s="7">
        <f t="shared" si="3"/>
        <v>0</v>
      </c>
      <c r="N10" s="14"/>
      <c r="O10" s="2" t="s">
        <v>31</v>
      </c>
      <c r="P10" s="12">
        <f>70*2.54*120*2.54/10000*0.09</f>
        <v>0.48774096</v>
      </c>
      <c r="Q10" s="12">
        <f>P10*30</f>
        <v>14.6322288</v>
      </c>
      <c r="R10" s="12">
        <f>1.18+0.05*15</f>
        <v>1.93</v>
      </c>
      <c r="S10" s="12">
        <f t="shared" si="0"/>
        <v>16.5622288</v>
      </c>
      <c r="T10" s="12"/>
      <c r="U10" s="12">
        <f t="shared" si="1"/>
        <v>0</v>
      </c>
      <c r="V10" s="12">
        <f t="shared" si="2"/>
        <v>0</v>
      </c>
    </row>
    <row r="11" ht="25" customHeight="1" spans="1:22">
      <c r="A11" s="2">
        <v>36.99</v>
      </c>
      <c r="B11" s="2">
        <v>6</v>
      </c>
      <c r="C11" s="8">
        <f t="shared" si="4"/>
        <v>6.165</v>
      </c>
      <c r="D11" s="3">
        <f>C11*30</f>
        <v>184.95</v>
      </c>
      <c r="E11" s="13"/>
      <c r="F11" s="10" t="s">
        <v>32</v>
      </c>
      <c r="G11" s="2"/>
      <c r="H11" s="2"/>
      <c r="I11" s="2"/>
      <c r="J11" s="2"/>
      <c r="K11" s="2"/>
      <c r="L11" s="7">
        <f t="shared" si="3"/>
        <v>0</v>
      </c>
      <c r="N11" s="14"/>
      <c r="O11" s="2" t="s">
        <v>33</v>
      </c>
      <c r="P11" s="12">
        <f>70*2.54*120*2.54/10000*0.09</f>
        <v>0.48774096</v>
      </c>
      <c r="Q11" s="12">
        <f>P11*30</f>
        <v>14.6322288</v>
      </c>
      <c r="R11" s="12">
        <f>1.18+0.05*5</f>
        <v>1.43</v>
      </c>
      <c r="S11" s="12">
        <f t="shared" si="0"/>
        <v>16.0622288</v>
      </c>
      <c r="T11" s="12"/>
      <c r="U11" s="12">
        <f t="shared" si="1"/>
        <v>0</v>
      </c>
      <c r="V11" s="12">
        <f t="shared" si="2"/>
        <v>0</v>
      </c>
    </row>
    <row r="12" ht="25" customHeight="1" spans="1:22">
      <c r="A12" s="2">
        <v>49.99</v>
      </c>
      <c r="B12" s="2">
        <v>10</v>
      </c>
      <c r="C12" s="8">
        <f t="shared" si="4"/>
        <v>4.999</v>
      </c>
      <c r="D12" s="3">
        <f>C12*30</f>
        <v>149.97</v>
      </c>
      <c r="E12" s="13"/>
      <c r="F12" s="10" t="s">
        <v>34</v>
      </c>
      <c r="G12" s="2"/>
      <c r="H12" s="2"/>
      <c r="I12" s="2"/>
      <c r="J12" s="2"/>
      <c r="K12" s="2"/>
      <c r="L12" s="7">
        <f t="shared" si="3"/>
        <v>0</v>
      </c>
      <c r="N12" s="14"/>
      <c r="O12" s="2" t="s">
        <v>35</v>
      </c>
      <c r="P12" s="12">
        <f>70*2.54*120*2.54/10000*0.09</f>
        <v>0.48774096</v>
      </c>
      <c r="Q12" s="12">
        <f>P12*30</f>
        <v>14.6322288</v>
      </c>
      <c r="R12" s="12">
        <f>1.18+0.21*3</f>
        <v>1.81</v>
      </c>
      <c r="S12" s="12">
        <f t="shared" si="0"/>
        <v>16.4422288</v>
      </c>
      <c r="T12" s="12"/>
      <c r="U12" s="12"/>
      <c r="V12" s="12"/>
    </row>
    <row r="13" ht="25" customHeight="1" spans="1:22">
      <c r="A13" s="2">
        <v>12.99</v>
      </c>
      <c r="B13" s="2">
        <v>2</v>
      </c>
      <c r="C13" s="8">
        <f t="shared" si="4"/>
        <v>6.495</v>
      </c>
      <c r="D13" s="3">
        <f>C13*40</f>
        <v>259.8</v>
      </c>
      <c r="E13" s="13"/>
      <c r="F13" s="10" t="s">
        <v>36</v>
      </c>
      <c r="G13" s="2"/>
      <c r="H13" s="2"/>
      <c r="I13" s="2"/>
      <c r="J13" s="2"/>
      <c r="K13" s="2"/>
      <c r="L13" s="7">
        <f t="shared" si="3"/>
        <v>0</v>
      </c>
      <c r="N13" s="14"/>
      <c r="O13" s="2" t="s">
        <v>37</v>
      </c>
      <c r="P13" s="12">
        <f>45*2.54*45*2.54*3.1415/10000*0.09</f>
        <v>0.369378858015</v>
      </c>
      <c r="Q13" s="12">
        <f>P13*40</f>
        <v>14.7751543206</v>
      </c>
      <c r="R13" s="12">
        <f>0.86+0.2</f>
        <v>1.06</v>
      </c>
      <c r="S13" s="12">
        <f t="shared" si="0"/>
        <v>15.8351543206</v>
      </c>
      <c r="T13" s="12"/>
      <c r="U13" s="12">
        <f>L13*Q13</f>
        <v>0</v>
      </c>
      <c r="V13" s="12">
        <f>S13*L13</f>
        <v>0</v>
      </c>
    </row>
    <row r="14" ht="25" customHeight="1" spans="1:22">
      <c r="A14" s="2">
        <v>34.99</v>
      </c>
      <c r="B14" s="2">
        <v>6</v>
      </c>
      <c r="C14" s="8">
        <f t="shared" si="4"/>
        <v>5.83166666666667</v>
      </c>
      <c r="D14" s="3">
        <f>C14*42</f>
        <v>244.93</v>
      </c>
      <c r="E14" s="13"/>
      <c r="F14" s="10" t="s">
        <v>38</v>
      </c>
      <c r="G14" s="2"/>
      <c r="H14" s="2"/>
      <c r="I14" s="2"/>
      <c r="J14" s="2"/>
      <c r="K14" s="2"/>
      <c r="L14" s="7">
        <f t="shared" si="3"/>
        <v>0</v>
      </c>
      <c r="N14" s="15"/>
      <c r="O14" s="2" t="s">
        <v>39</v>
      </c>
      <c r="P14" s="12">
        <f>45*2.54*45*2.54*3.1415/10000*0.09</f>
        <v>0.369378858015</v>
      </c>
      <c r="Q14" s="12">
        <f>P14*42</f>
        <v>15.51391203663</v>
      </c>
      <c r="R14" s="12">
        <f>0.86+0.14</f>
        <v>1</v>
      </c>
      <c r="S14" s="12">
        <f t="shared" si="0"/>
        <v>16.51391203663</v>
      </c>
      <c r="T14" s="12"/>
      <c r="U14" s="12">
        <f>L14*Q14</f>
        <v>0</v>
      </c>
      <c r="V14" s="12">
        <f>S14*L14</f>
        <v>0</v>
      </c>
    </row>
    <row r="15" ht="25" customHeight="1" spans="1:22">
      <c r="A15" s="2">
        <v>49.99</v>
      </c>
      <c r="B15" s="2">
        <v>10</v>
      </c>
      <c r="C15" s="8">
        <f t="shared" si="4"/>
        <v>4.999</v>
      </c>
      <c r="D15" s="3">
        <f>C15*40</f>
        <v>199.96</v>
      </c>
      <c r="E15" s="13"/>
      <c r="F15" s="10" t="s">
        <v>40</v>
      </c>
      <c r="G15" s="2"/>
      <c r="H15" s="2"/>
      <c r="I15" s="2"/>
      <c r="J15" s="2"/>
      <c r="K15" s="2"/>
      <c r="L15" s="7">
        <f t="shared" si="3"/>
        <v>0</v>
      </c>
      <c r="N15" s="15"/>
      <c r="O15" s="2" t="s">
        <v>41</v>
      </c>
      <c r="P15" s="12">
        <f>45*2.54*45*2.54*3.1415/10000*0.09</f>
        <v>0.369378858015</v>
      </c>
      <c r="Q15" s="12">
        <f>P15*40</f>
        <v>14.7751543206</v>
      </c>
      <c r="R15" s="12">
        <v>2.14</v>
      </c>
      <c r="S15" s="12">
        <f t="shared" si="0"/>
        <v>16.9151543206</v>
      </c>
      <c r="T15" s="12"/>
      <c r="U15" s="12"/>
      <c r="V15" s="12"/>
    </row>
    <row r="16" ht="25" customHeight="1" spans="1:22">
      <c r="A16" s="2"/>
      <c r="B16" s="2"/>
      <c r="C16" s="3"/>
      <c r="D16" s="3"/>
      <c r="E16" s="11" t="s">
        <v>42</v>
      </c>
      <c r="F16" s="10" t="s">
        <v>43</v>
      </c>
      <c r="G16" s="2"/>
      <c r="H16" s="2"/>
      <c r="I16" s="2"/>
      <c r="J16" s="2"/>
      <c r="K16" s="2"/>
      <c r="L16" s="7">
        <f t="shared" si="3"/>
        <v>0</v>
      </c>
      <c r="N16" s="16" t="s">
        <v>44</v>
      </c>
      <c r="O16" s="10" t="s">
        <v>43</v>
      </c>
      <c r="P16" s="12">
        <v>0.13</v>
      </c>
      <c r="Q16" s="12">
        <f>P16*144</f>
        <v>18.72</v>
      </c>
      <c r="R16" s="12">
        <f>0.02*24+1.78</f>
        <v>2.26</v>
      </c>
      <c r="S16" s="12">
        <f t="shared" ref="S16:S22" si="5">Q16+R16</f>
        <v>20.98</v>
      </c>
      <c r="T16" s="12"/>
      <c r="U16" s="12">
        <f t="shared" ref="U16:U22" si="6">L16*Q16</f>
        <v>0</v>
      </c>
      <c r="V16" s="12">
        <f t="shared" ref="V16:V22" si="7">S16*L16</f>
        <v>0</v>
      </c>
    </row>
    <row r="17" ht="25" customHeight="1" spans="1:22">
      <c r="A17" s="2"/>
      <c r="B17" s="2"/>
      <c r="C17" s="3"/>
      <c r="D17" s="3"/>
      <c r="E17" s="15"/>
      <c r="F17" s="10" t="s">
        <v>45</v>
      </c>
      <c r="G17" s="2"/>
      <c r="H17" s="2"/>
      <c r="I17" s="2"/>
      <c r="J17" s="2"/>
      <c r="K17" s="2"/>
      <c r="L17" s="7">
        <f t="shared" si="3"/>
        <v>0</v>
      </c>
      <c r="N17" s="16"/>
      <c r="O17" s="10" t="s">
        <v>45</v>
      </c>
      <c r="P17" s="12">
        <v>0.13</v>
      </c>
      <c r="Q17" s="12">
        <f>P17*140</f>
        <v>18.2</v>
      </c>
      <c r="R17" s="12">
        <f>0.02*10+1.78</f>
        <v>1.98</v>
      </c>
      <c r="S17" s="12">
        <f t="shared" si="5"/>
        <v>20.18</v>
      </c>
      <c r="T17" s="12"/>
      <c r="U17" s="12">
        <f t="shared" si="6"/>
        <v>0</v>
      </c>
      <c r="V17" s="12">
        <f t="shared" si="7"/>
        <v>0</v>
      </c>
    </row>
    <row r="18" ht="25" customHeight="1" spans="1:22">
      <c r="A18" s="2"/>
      <c r="B18" s="2"/>
      <c r="C18" s="3"/>
      <c r="D18" s="3">
        <f>20.6*4</f>
        <v>82.4</v>
      </c>
      <c r="E18" s="14" t="s">
        <v>20</v>
      </c>
      <c r="F18" s="10" t="s">
        <v>27</v>
      </c>
      <c r="G18" s="2">
        <v>96</v>
      </c>
      <c r="H18" s="2">
        <v>87</v>
      </c>
      <c r="I18" s="2">
        <v>86</v>
      </c>
      <c r="J18" s="2">
        <v>61</v>
      </c>
      <c r="K18" s="2">
        <v>70</v>
      </c>
      <c r="L18" s="7">
        <f t="shared" si="3"/>
        <v>400</v>
      </c>
      <c r="N18" s="16" t="s">
        <v>20</v>
      </c>
      <c r="O18" s="10" t="s">
        <v>45</v>
      </c>
      <c r="P18" s="12">
        <f>60*2.54*102*2.54/10000*0.09</f>
        <v>0.355354128</v>
      </c>
      <c r="Q18" s="12">
        <f>P18*40</f>
        <v>14.21416512</v>
      </c>
      <c r="R18" s="12">
        <v>2.14</v>
      </c>
      <c r="S18" s="12">
        <f t="shared" si="5"/>
        <v>16.35416512</v>
      </c>
      <c r="T18" s="12"/>
      <c r="U18" s="12">
        <f t="shared" si="6"/>
        <v>5685.666048</v>
      </c>
      <c r="V18" s="12">
        <f t="shared" si="7"/>
        <v>6541.666048</v>
      </c>
    </row>
    <row r="19" ht="25" customHeight="1" spans="1:22">
      <c r="A19" s="2"/>
      <c r="B19" s="2"/>
      <c r="C19" s="3"/>
      <c r="D19" s="3"/>
      <c r="E19" s="13" t="s">
        <v>46</v>
      </c>
      <c r="F19" s="17" t="s">
        <v>47</v>
      </c>
      <c r="G19" s="2"/>
      <c r="H19" s="2"/>
      <c r="I19" s="2"/>
      <c r="J19" s="2"/>
      <c r="K19" s="2"/>
      <c r="L19" s="7">
        <f t="shared" si="3"/>
        <v>0</v>
      </c>
      <c r="N19" s="2" t="s">
        <v>46</v>
      </c>
      <c r="O19" s="17" t="s">
        <v>47</v>
      </c>
      <c r="P19" s="12">
        <f>60*2.54*84*2.54/100/100*0.167</f>
        <v>0.5430182688</v>
      </c>
      <c r="Q19" s="12">
        <f>P19*36</f>
        <v>19.5486576768</v>
      </c>
      <c r="R19" s="12">
        <f>0.05*18+1.5</f>
        <v>2.4</v>
      </c>
      <c r="S19" s="12">
        <f t="shared" si="5"/>
        <v>21.9486576768</v>
      </c>
      <c r="T19" s="12"/>
      <c r="U19" s="12">
        <f t="shared" si="6"/>
        <v>0</v>
      </c>
      <c r="V19" s="12">
        <f t="shared" si="7"/>
        <v>0</v>
      </c>
    </row>
    <row r="20" ht="25" customHeight="1" spans="1:22">
      <c r="A20" s="2"/>
      <c r="B20" s="2"/>
      <c r="C20" s="3"/>
      <c r="D20" s="3"/>
      <c r="E20" s="13"/>
      <c r="F20" s="10" t="s">
        <v>48</v>
      </c>
      <c r="G20" s="2"/>
      <c r="H20" s="2"/>
      <c r="I20" s="2"/>
      <c r="J20" s="2"/>
      <c r="K20" s="2"/>
      <c r="L20" s="7">
        <f t="shared" si="3"/>
        <v>0</v>
      </c>
      <c r="N20" s="2"/>
      <c r="O20" s="10" t="s">
        <v>48</v>
      </c>
      <c r="P20" s="12">
        <f>60*2.54*84*2.54/100/100*0.167</f>
        <v>0.5430182688</v>
      </c>
      <c r="Q20" s="12">
        <f>P20*36</f>
        <v>19.5486576768</v>
      </c>
      <c r="R20" s="12">
        <f>0.05*6+1.5</f>
        <v>1.8</v>
      </c>
      <c r="S20" s="12">
        <f t="shared" si="5"/>
        <v>21.3486576768</v>
      </c>
      <c r="T20" s="12"/>
      <c r="U20" s="12">
        <f t="shared" si="6"/>
        <v>0</v>
      </c>
      <c r="V20" s="12">
        <f t="shared" si="7"/>
        <v>0</v>
      </c>
    </row>
    <row r="21" ht="25" customHeight="1" spans="1:22">
      <c r="A21" s="2"/>
      <c r="B21" s="2"/>
      <c r="C21" s="3"/>
      <c r="D21" s="3"/>
      <c r="E21" s="13"/>
      <c r="F21" s="10" t="s">
        <v>49</v>
      </c>
      <c r="G21" s="2"/>
      <c r="H21" s="2"/>
      <c r="I21" s="2"/>
      <c r="J21" s="2"/>
      <c r="K21" s="2"/>
      <c r="L21" s="7">
        <f t="shared" si="3"/>
        <v>0</v>
      </c>
      <c r="N21" s="2"/>
      <c r="O21" s="10" t="s">
        <v>25</v>
      </c>
      <c r="P21" s="12">
        <f>60*2.54*102*2.54/100/100*0.167</f>
        <v>0.6593793264</v>
      </c>
      <c r="Q21" s="12">
        <f>P21*30</f>
        <v>19.781379792</v>
      </c>
      <c r="R21" s="12">
        <f>0.05*15+1.5</f>
        <v>2.25</v>
      </c>
      <c r="S21" s="12">
        <f t="shared" si="5"/>
        <v>22.031379792</v>
      </c>
      <c r="T21" s="12"/>
      <c r="U21" s="12">
        <f t="shared" si="6"/>
        <v>0</v>
      </c>
      <c r="V21" s="12">
        <f t="shared" si="7"/>
        <v>0</v>
      </c>
    </row>
    <row r="22" ht="25" customHeight="1" spans="1:22">
      <c r="A22" s="2"/>
      <c r="B22" s="2"/>
      <c r="C22" s="3"/>
      <c r="D22" s="3"/>
      <c r="E22" s="18"/>
      <c r="F22" s="10" t="s">
        <v>50</v>
      </c>
      <c r="G22" s="2"/>
      <c r="H22" s="2"/>
      <c r="I22" s="2"/>
      <c r="J22" s="2"/>
      <c r="K22" s="2"/>
      <c r="L22" s="7">
        <f t="shared" si="3"/>
        <v>0</v>
      </c>
      <c r="N22" s="2"/>
      <c r="O22" s="10" t="s">
        <v>26</v>
      </c>
      <c r="P22" s="12">
        <f>60*2.54*102*2.54/100/100*0.167</f>
        <v>0.6593793264</v>
      </c>
      <c r="Q22" s="12">
        <f>P22*30</f>
        <v>19.781379792</v>
      </c>
      <c r="R22" s="12">
        <f>0.05*5+1.5</f>
        <v>1.75</v>
      </c>
      <c r="S22" s="12">
        <f t="shared" si="5"/>
        <v>21.531379792</v>
      </c>
      <c r="T22" s="12"/>
      <c r="U22" s="12">
        <f t="shared" si="6"/>
        <v>0</v>
      </c>
      <c r="V22" s="12">
        <f t="shared" si="7"/>
        <v>0</v>
      </c>
    </row>
    <row r="23" ht="25" customHeight="1" spans="1:22">
      <c r="A23" s="2"/>
      <c r="B23" s="2"/>
      <c r="C23" s="3"/>
      <c r="D23" s="3"/>
      <c r="E23" s="2">
        <f>G23+J23</f>
        <v>157</v>
      </c>
      <c r="F23" s="19" t="s">
        <v>51</v>
      </c>
      <c r="G23" s="2">
        <f>SUM(G2:G22)</f>
        <v>96</v>
      </c>
      <c r="H23" s="2">
        <f t="shared" ref="G23:L23" si="8">SUM(H2:H22)</f>
        <v>87</v>
      </c>
      <c r="I23" s="2">
        <f t="shared" si="8"/>
        <v>86</v>
      </c>
      <c r="J23" s="2">
        <f t="shared" si="8"/>
        <v>61</v>
      </c>
      <c r="K23" s="2">
        <f t="shared" si="8"/>
        <v>70</v>
      </c>
      <c r="L23" s="2">
        <f t="shared" si="8"/>
        <v>400</v>
      </c>
      <c r="O23" s="2"/>
      <c r="P23" s="2"/>
      <c r="Q23" s="2"/>
      <c r="R23" s="2"/>
      <c r="S23" s="2" t="s">
        <v>52</v>
      </c>
      <c r="T23" s="20" t="s">
        <v>53</v>
      </c>
      <c r="U23" s="21">
        <f>SUM(U4:U22)</f>
        <v>5685.666048</v>
      </c>
      <c r="V23" s="21">
        <f>SUM(V4:V22)</f>
        <v>6541.666048</v>
      </c>
    </row>
    <row r="24" ht="33" customHeight="1" spans="1:22">
      <c r="A24" s="2"/>
      <c r="B24" s="2"/>
      <c r="C24" s="3"/>
      <c r="D24" s="3"/>
      <c r="E24" s="2">
        <f>G24+J24</f>
        <v>6280</v>
      </c>
      <c r="F24" s="2" t="s">
        <v>54</v>
      </c>
      <c r="G24" s="2">
        <f>G12*30+G15*40+G2*90+G6*42+G4*48+G7*40+G8*36+G3*42+G5*40+G16*144+G17*140+G19*36+G22*30+G20*36+G21*30+G10*30+G13*40+G14*42+G11*30+G18*40+G9*30</f>
        <v>3840</v>
      </c>
      <c r="H24" s="2">
        <f>H12*30+H15*40+H2*90+H6*42+H4*48+H7*40+H8*36+H3*42+H5*40+H16*144+H17*140+H19*36+H22*30+H20*36+H21*30+H10*30+H13*40+H14*42+H11*30+H18*40+H9*30</f>
        <v>3480</v>
      </c>
      <c r="I24" s="2">
        <f>I2*90+I6*42+I4*48+I7*40+I8*36+I3*42+I5*40+I16*144+I17*140+I18*40+I19*36+I22*30+I20*36+I21*30+I10*30+I13*40+I14*42+I11*30+I9*30+I12*30+I15*40</f>
        <v>3440</v>
      </c>
      <c r="J24" s="2">
        <f>J2*90+J6*42+J4*48+J7*40+J8*36+J3*42+J5*40+J16*144+J17*140+J18*40+J19*36+J22*30+J20*36+J21*30+J10*30+J13*40+J14*42+J11*30+J9*30+J12*30+J15*40</f>
        <v>2440</v>
      </c>
      <c r="K24" s="2">
        <f>K2*90+K6*42+K4*48+K7*40+K8*36+K3*42+K5*40+K16*144+K17*140+K18*40+K19*36+K22*30+K20*36+K21*30+K10*30+K13*40+K14*42+K11*30+K9*30+K12*30+K15*40</f>
        <v>2800</v>
      </c>
      <c r="L24" s="22"/>
      <c r="M24">
        <f>H24/H23</f>
        <v>40</v>
      </c>
      <c r="N24">
        <f>0.54*30</f>
        <v>16.2</v>
      </c>
    </row>
    <row r="25" ht="31" customHeight="1" spans="1:22">
      <c r="A25" s="2"/>
      <c r="B25" s="2"/>
      <c r="C25" s="3"/>
      <c r="D25" s="3"/>
      <c r="E25" s="2">
        <f>G25+J25</f>
        <v>12936.8</v>
      </c>
      <c r="F25" s="2" t="s">
        <v>55</v>
      </c>
      <c r="G25" s="3">
        <f>G2*D2+G3*D3+G4*D4+G5*D5+D6*G6+G7*D7+G8*D8+G10*D10+G13*D13+G14*D14+G16*D16+G17*D17+G19*D19+G20*D20+G21*D21+G22*D22+G11*D11+D18*G18+G9*D9+G12*D12+D15*G15</f>
        <v>7910.4</v>
      </c>
      <c r="H25" s="3">
        <f>D4*H4+H5*D5+D6*H6+H7*D7+D8*H8+H10*D10+H11*D11+H13*D13+H14*D14+D18*H18+H9*D9+H12*D12+D15*H15</f>
        <v>7168.8</v>
      </c>
      <c r="I25" s="3">
        <f>I4*D4+D5*I5+I6*D6+I7*D7+D8*I8+I10*D10+D11*I11+I13*D13+I14*D14+I18*D18+I9*D9*I12*D12+D15*I15</f>
        <v>7086.4</v>
      </c>
      <c r="J25" s="3">
        <f>J4*D4+J5*D5+J6*D6+J7*D7+J8*D8+J10*D10+J11*D11+J13*D13+J14*D14+J18*D18+J9*D9+J12*D12+D15*J15</f>
        <v>5026.4</v>
      </c>
      <c r="K25" s="3">
        <f>K4*D4+K5*D5+K6*D6+K7*D7+K8*D8+K10*D10+K11*D11+K13*D13+K14*D14+K18*D18+K9*D9+K12*D12+D15*K15</f>
        <v>5768</v>
      </c>
      <c r="L25" s="22"/>
      <c r="M25">
        <f>H25/H23/38</f>
        <v>2.16842105263158</v>
      </c>
    </row>
    <row r="26" ht="31" customHeight="1" spans="1:22">
      <c r="A26" s="2"/>
      <c r="B26" s="2"/>
      <c r="C26" s="3"/>
      <c r="D26" s="3"/>
      <c r="E26" s="2">
        <f>E25/E24</f>
        <v>2.06</v>
      </c>
      <c r="F26" s="19" t="s">
        <v>56</v>
      </c>
      <c r="G26" s="23">
        <f>G25/G24</f>
        <v>2.06</v>
      </c>
      <c r="H26" s="23">
        <f>H25/H24</f>
        <v>2.06</v>
      </c>
      <c r="I26" s="23">
        <f>I25/I24</f>
        <v>2.06</v>
      </c>
      <c r="J26" s="23">
        <f>J25/J24</f>
        <v>2.06</v>
      </c>
      <c r="K26" s="23">
        <f>K25/K24</f>
        <v>2.06</v>
      </c>
    </row>
    <row r="27" ht="31" customHeight="1" spans="1:22">
      <c r="A27" s="2"/>
      <c r="B27" s="2"/>
      <c r="C27" s="3"/>
      <c r="D27" s="3"/>
      <c r="E27" s="2">
        <f>G27+J27</f>
        <v>2230.97</v>
      </c>
      <c r="F27" s="19" t="s">
        <v>57</v>
      </c>
      <c r="G27" s="23">
        <f>G23*14.21</f>
        <v>1364.16</v>
      </c>
      <c r="H27" s="23">
        <f>H23*14.21</f>
        <v>1236.27</v>
      </c>
      <c r="I27" s="23">
        <f>I23*14.21</f>
        <v>1222.06</v>
      </c>
      <c r="J27" s="23">
        <f>J23*14.21</f>
        <v>866.81</v>
      </c>
      <c r="K27" s="23">
        <f>K23*14.21</f>
        <v>994.7</v>
      </c>
      <c r="L27">
        <f>SUM(G27:K27)</f>
        <v>5684</v>
      </c>
      <c r="P27" t="s">
        <v>58</v>
      </c>
      <c r="Q27" t="s">
        <v>56</v>
      </c>
      <c r="R27" t="s">
        <v>59</v>
      </c>
      <c r="S27" t="s">
        <v>60</v>
      </c>
      <c r="T27" t="s">
        <v>61</v>
      </c>
    </row>
    <row r="28" ht="31" customHeight="1" spans="1:22">
      <c r="A28" s="2"/>
      <c r="B28" s="2"/>
      <c r="C28" s="3"/>
      <c r="D28" s="3"/>
      <c r="E28" s="2">
        <f>G28+J28</f>
        <v>2566.95</v>
      </c>
      <c r="F28" s="19" t="s">
        <v>16</v>
      </c>
      <c r="G28" s="23">
        <f>G23*16.35</f>
        <v>1569.6</v>
      </c>
      <c r="H28" s="23">
        <f>H23*16.35</f>
        <v>1422.45</v>
      </c>
      <c r="I28" s="23">
        <f>I23*16.35</f>
        <v>1406.1</v>
      </c>
      <c r="J28" s="23">
        <f>J23*16.35</f>
        <v>997.35</v>
      </c>
      <c r="K28" s="23">
        <f>K23*16.35</f>
        <v>1144.5</v>
      </c>
      <c r="L28">
        <f>SUM(G28:K28)</f>
        <v>6540</v>
      </c>
      <c r="M28" t="s">
        <v>62</v>
      </c>
      <c r="N28" t="s">
        <v>63</v>
      </c>
      <c r="O28" t="s">
        <v>64</v>
      </c>
      <c r="P28">
        <v>350</v>
      </c>
      <c r="Q28">
        <v>6.8</v>
      </c>
      <c r="R28">
        <f>P28*Q28*20</f>
        <v>47600</v>
      </c>
      <c r="S28">
        <v>2224.4</v>
      </c>
      <c r="T28">
        <f>R28+S28*6.8</f>
        <v>62725.92</v>
      </c>
    </row>
    <row r="29" ht="31" customHeight="1" spans="1:22">
      <c r="E29">
        <f>E23*E31</f>
        <v>10.81416</v>
      </c>
      <c r="F29" s="24" t="s">
        <v>65</v>
      </c>
      <c r="G29" s="2" t="str">
        <f>G1</f>
        <v>SWF2</v>
      </c>
      <c r="H29" s="2" t="str">
        <f>H1</f>
        <v>MCC1</v>
      </c>
      <c r="I29" s="2" t="str">
        <f>I1</f>
        <v>FTW1</v>
      </c>
      <c r="J29" s="2" t="str">
        <f>J1</f>
        <v>AVP1</v>
      </c>
      <c r="K29" s="2" t="str">
        <f>K1</f>
        <v>RDU2</v>
      </c>
      <c r="N29" t="s">
        <v>66</v>
      </c>
      <c r="O29" t="s">
        <v>67</v>
      </c>
      <c r="P29">
        <v>76</v>
      </c>
      <c r="Q29">
        <v>4.2</v>
      </c>
      <c r="R29">
        <f>P29*Q29*20</f>
        <v>6384</v>
      </c>
      <c r="T29" s="25">
        <f>SUM(R29:R34)</f>
        <v>36704</v>
      </c>
    </row>
    <row r="30" ht="31" customHeight="1" spans="1:22">
      <c r="G30">
        <f>G18*E31</f>
        <v>6.61248</v>
      </c>
      <c r="H30">
        <f>H18*E31</f>
        <v>5.99256</v>
      </c>
      <c r="I30">
        <f>I18*E31</f>
        <v>5.92368</v>
      </c>
      <c r="J30">
        <f>J18*E31</f>
        <v>4.20168</v>
      </c>
      <c r="K30">
        <f>K18*E31</f>
        <v>4.8216</v>
      </c>
      <c r="O30" t="s">
        <v>68</v>
      </c>
      <c r="P30">
        <v>64</v>
      </c>
      <c r="Q30">
        <v>6.4</v>
      </c>
      <c r="R30">
        <f>P30*Q30*20</f>
        <v>8192</v>
      </c>
      <c r="T30" s="25"/>
    </row>
    <row r="31" ht="31" customHeight="1" spans="1:22">
      <c r="E31">
        <f>0.41*0.28*0.6</f>
        <v>0.06888</v>
      </c>
      <c r="O31" t="s">
        <v>69</v>
      </c>
      <c r="P31">
        <v>2</v>
      </c>
      <c r="Q31">
        <v>6.8</v>
      </c>
      <c r="R31">
        <f>P31*Q31*20</f>
        <v>272</v>
      </c>
      <c r="T31" s="25"/>
    </row>
    <row r="32" spans="1:22">
      <c r="M32" s="25"/>
      <c r="O32" t="s">
        <v>70</v>
      </c>
      <c r="P32">
        <v>71</v>
      </c>
      <c r="Q32">
        <v>6.4</v>
      </c>
      <c r="R32">
        <f t="shared" ref="R32:R42" si="9">P32*Q32*20</f>
        <v>9088</v>
      </c>
      <c r="T32" s="25"/>
    </row>
    <row r="33" spans="6:20">
      <c r="F33" s="26"/>
      <c r="G33" s="26"/>
      <c r="H33" s="26"/>
      <c r="I33" s="26"/>
      <c r="J33" s="26"/>
      <c r="K33" s="26"/>
      <c r="L33" s="26"/>
      <c r="M33" s="25"/>
      <c r="O33" t="s">
        <v>71</v>
      </c>
      <c r="P33">
        <v>64</v>
      </c>
      <c r="Q33">
        <v>5.1</v>
      </c>
      <c r="R33">
        <f t="shared" si="9"/>
        <v>6528</v>
      </c>
      <c r="S33" t="s">
        <v>72</v>
      </c>
      <c r="T33" s="25"/>
    </row>
    <row r="34" spans="6:20">
      <c r="F34" s="25"/>
      <c r="G34" s="25"/>
      <c r="H34" s="25"/>
      <c r="I34" s="25"/>
      <c r="J34" s="25"/>
      <c r="K34" s="25"/>
      <c r="L34" s="25"/>
      <c r="M34" s="25"/>
      <c r="O34" t="s">
        <v>73</v>
      </c>
      <c r="P34">
        <v>65</v>
      </c>
      <c r="Q34">
        <v>4.8</v>
      </c>
      <c r="R34">
        <f t="shared" si="9"/>
        <v>6240</v>
      </c>
    </row>
    <row r="35" spans="6:20">
      <c r="F35" s="25"/>
      <c r="G35" s="25"/>
      <c r="H35" s="25"/>
      <c r="I35" s="25"/>
      <c r="J35" s="25"/>
      <c r="K35" s="25"/>
      <c r="L35" s="25"/>
      <c r="M35" s="25"/>
    </row>
    <row r="36" spans="6:20">
      <c r="F36" s="25"/>
      <c r="G36" s="25"/>
      <c r="H36" s="25"/>
      <c r="I36" s="25"/>
      <c r="J36" s="25"/>
      <c r="K36" s="25"/>
      <c r="L36" s="25"/>
      <c r="M36" s="25" t="s">
        <v>74</v>
      </c>
      <c r="N36" t="s">
        <v>63</v>
      </c>
      <c r="O36" t="s">
        <v>64</v>
      </c>
      <c r="P36">
        <v>357</v>
      </c>
      <c r="Q36">
        <v>4.2</v>
      </c>
      <c r="R36">
        <f>P36*Q36*20</f>
        <v>29988</v>
      </c>
      <c r="S36">
        <v>2249.1</v>
      </c>
      <c r="T36">
        <f>R36+S36*6.8</f>
        <v>45281.88</v>
      </c>
    </row>
    <row r="37" spans="6:20">
      <c r="F37" s="25"/>
      <c r="G37" s="25"/>
      <c r="H37" s="25"/>
      <c r="I37" s="25"/>
      <c r="J37" s="25"/>
      <c r="K37" s="25"/>
      <c r="L37" s="25"/>
      <c r="M37" s="25"/>
      <c r="O37" t="s">
        <v>67</v>
      </c>
      <c r="P37">
        <v>90</v>
      </c>
      <c r="Q37">
        <v>4.2</v>
      </c>
      <c r="R37">
        <f>P37*Q37*20</f>
        <v>7560</v>
      </c>
      <c r="T37" s="25">
        <f>SUM(R37:R42)</f>
        <v>37794</v>
      </c>
    </row>
    <row r="38" spans="6:20">
      <c r="F38" s="25"/>
      <c r="G38" s="25"/>
      <c r="H38" s="25"/>
      <c r="I38" s="25"/>
      <c r="J38" s="25"/>
      <c r="K38" s="25"/>
      <c r="L38" s="25"/>
      <c r="O38" t="s">
        <v>68</v>
      </c>
      <c r="P38">
        <v>60</v>
      </c>
      <c r="Q38">
        <v>6.4</v>
      </c>
      <c r="R38">
        <f t="shared" si="9"/>
        <v>7680</v>
      </c>
      <c r="T38" s="25"/>
    </row>
    <row r="39" spans="6:20">
      <c r="O39" t="s">
        <v>75</v>
      </c>
      <c r="Q39">
        <v>4.2</v>
      </c>
      <c r="R39">
        <f t="shared" si="9"/>
        <v>0</v>
      </c>
      <c r="T39" s="25"/>
    </row>
    <row r="40" spans="6:20">
      <c r="O40" t="s">
        <v>70</v>
      </c>
      <c r="P40">
        <v>72</v>
      </c>
      <c r="Q40">
        <v>6.4</v>
      </c>
      <c r="R40">
        <f t="shared" si="9"/>
        <v>9216</v>
      </c>
      <c r="T40" s="25"/>
    </row>
    <row r="41" spans="6:20">
      <c r="O41" t="s">
        <v>71</v>
      </c>
      <c r="P41">
        <v>63</v>
      </c>
      <c r="Q41">
        <v>5.1</v>
      </c>
      <c r="R41">
        <f t="shared" si="9"/>
        <v>6426</v>
      </c>
      <c r="S41" t="s">
        <v>72</v>
      </c>
      <c r="T41" s="25"/>
    </row>
    <row r="42" spans="6:20">
      <c r="O42" t="s">
        <v>73</v>
      </c>
      <c r="P42">
        <v>72</v>
      </c>
      <c r="Q42">
        <v>4.8</v>
      </c>
      <c r="R42">
        <f t="shared" si="9"/>
        <v>6912</v>
      </c>
    </row>
    <row r="47" ht="26" customHeight="1" spans="6:20">
      <c r="M47" t="s">
        <v>67</v>
      </c>
      <c r="N47">
        <v>48</v>
      </c>
      <c r="O47">
        <v>4.6</v>
      </c>
      <c r="P47">
        <f>N47*O47*20</f>
        <v>4416</v>
      </c>
    </row>
    <row r="48" ht="25" customHeight="1" spans="6:20">
      <c r="M48" t="s">
        <v>76</v>
      </c>
      <c r="N48">
        <v>50</v>
      </c>
      <c r="O48">
        <v>5.2</v>
      </c>
      <c r="P48">
        <f>N48*O48*20</f>
        <v>5200</v>
      </c>
    </row>
    <row r="49" ht="25" customHeight="1" spans="13:17">
      <c r="M49" t="s">
        <v>73</v>
      </c>
      <c r="N49">
        <v>49</v>
      </c>
      <c r="O49">
        <v>5.2</v>
      </c>
      <c r="P49">
        <f>N49*O49*20</f>
        <v>5096</v>
      </c>
    </row>
    <row r="50" ht="25" customHeight="1" spans="13:17">
      <c r="M50" t="s">
        <v>10</v>
      </c>
      <c r="N50">
        <v>51</v>
      </c>
      <c r="O50">
        <v>6.2</v>
      </c>
      <c r="P50">
        <f>N50*O50*20</f>
        <v>6324</v>
      </c>
      <c r="Q50">
        <v>5.7</v>
      </c>
    </row>
    <row r="51" ht="25" customHeight="1" spans="13:17">
      <c r="M51" t="s">
        <v>77</v>
      </c>
      <c r="N51">
        <v>50</v>
      </c>
      <c r="O51">
        <v>6.4</v>
      </c>
      <c r="P51">
        <f>N51*O51*20</f>
        <v>6400</v>
      </c>
    </row>
    <row r="52" ht="25" customHeight="1"/>
    <row r="53" ht="25" customHeight="1"/>
    <row r="54" ht="25" customHeight="1" spans="13:17">
      <c r="M54" t="s">
        <v>78</v>
      </c>
      <c r="N54">
        <v>248</v>
      </c>
      <c r="O54">
        <v>5.5</v>
      </c>
      <c r="P54">
        <f>N54*O54*20</f>
        <v>27280</v>
      </c>
      <c r="Q54">
        <f>593.94*6.8</f>
        <v>4038.792</v>
      </c>
    </row>
    <row r="55" ht="25" customHeight="1"/>
    <row r="56" ht="25" customHeight="1"/>
    <row r="57" ht="25" customHeight="1"/>
    <row r="58" ht="25" customHeight="1"/>
  </sheetData>
  <mergeCells count="9">
    <mergeCell ref="F33:L33"/>
    <mergeCell ref="E2:E14"/>
    <mergeCell ref="E16:E17"/>
    <mergeCell ref="E19:E22"/>
    <mergeCell ref="N2:N14"/>
    <mergeCell ref="N16:N17"/>
    <mergeCell ref="N19:N22"/>
    <mergeCell ref="T29:T33"/>
    <mergeCell ref="T37:T4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2025-02-24T13:48:00Z</dcterms:created>
  <dcterms:modified xsi:type="dcterms:W3CDTF">2026-05-11T06:51:39Z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E4BA2A541D464EB49BD48EB7F062CE55_13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