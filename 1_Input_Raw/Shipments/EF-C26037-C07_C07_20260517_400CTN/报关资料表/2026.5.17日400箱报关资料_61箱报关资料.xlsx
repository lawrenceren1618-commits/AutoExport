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75"/>
  </bookViews>
  <sheets>
    <sheet name="报关单" sheetId="1" r:id="rId1"/>
    <sheet name="发票" sheetId="2" r:id="rId2"/>
    <sheet name="装箱单" sheetId="3" r:id="rId3"/>
    <sheet name="合同" sheetId="4" r:id="rId4"/>
    <sheet name="委托协议" sheetId="5" r:id="rId5"/>
  </sheets>
  <definedNames>
    <definedName name="_xlnm.Print_Area" localSheetId="0">报关单!$A$1:$AB$21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<sst xmlns="http://schemas.openxmlformats.org/spreadsheetml/2006/main" count="410" uniqueCount="205">
  <si>
    <t>中华人民共和国海关出口货物报关单</t>
  </si>
  <si>
    <t/>
  </si>
  <si>
    <t>预录入编号：</t>
  </si>
  <si>
    <t>申报口岸 :</t>
  </si>
  <si>
    <t>海关编号 :</t>
  </si>
  <si>
    <t xml:space="preserve">境内发货人      </t>
  </si>
  <si>
    <r>
      <rPr>
        <sz val="9"/>
        <color rgb="FFFF0000"/>
        <rFont val="微软雅黑"/>
        <charset val="204"/>
      </rPr>
      <t xml:space="preserve">出境关别      </t>
    </r>
    <r>
      <rPr>
        <sz val="9"/>
        <rFont val="微软雅黑"/>
        <charset val="204"/>
      </rPr>
      <t>(    )</t>
    </r>
  </si>
  <si>
    <t>出口日期：</t>
  </si>
  <si>
    <t>申报日期：</t>
  </si>
  <si>
    <t>备案号</t>
  </si>
  <si>
    <t>91411000MA3X6E9D79                                                                   许昌易尚电子商务有限公司</t>
  </si>
  <si>
    <r>
      <rPr>
        <sz val="9"/>
        <color rgb="FFFF0000"/>
        <rFont val="微软雅黑"/>
        <charset val="204"/>
      </rPr>
      <t xml:space="preserve">境外收货人       </t>
    </r>
    <r>
      <rPr>
        <sz val="9"/>
        <rFont val="微软雅黑"/>
        <charset val="204"/>
      </rPr>
      <t xml:space="preserve">AEO：
</t>
    </r>
    <r>
      <rPr>
        <b/>
        <sz val="9"/>
        <rFont val="微软雅黑"/>
        <charset val="204"/>
      </rPr>
      <t xml:space="preserve">  Amazon.com Services, Inc.</t>
    </r>
  </si>
  <si>
    <r>
      <rPr>
        <sz val="10"/>
        <rFont val="微软雅黑"/>
        <charset val="204"/>
      </rPr>
      <t xml:space="preserve">运输方式      ( </t>
    </r>
    <r>
      <rPr>
        <b/>
        <sz val="10"/>
        <color rgb="FFFF0000"/>
        <rFont val="微软雅黑"/>
        <charset val="204"/>
      </rPr>
      <t xml:space="preserve"> 水路运输</t>
    </r>
    <r>
      <rPr>
        <sz val="10"/>
        <rFont val="微软雅黑"/>
        <charset val="204"/>
      </rPr>
      <t xml:space="preserve">  )</t>
    </r>
  </si>
  <si>
    <t>运输工具名称及航次号</t>
  </si>
  <si>
    <t>提运单号</t>
  </si>
  <si>
    <t>生产销售单位       91411000MA3X6E9D79                                                                                       许昌易尚电子商务有限公司</t>
  </si>
  <si>
    <r>
      <rPr>
        <sz val="9"/>
        <rFont val="微软雅黑"/>
        <charset val="134"/>
      </rPr>
      <t xml:space="preserve">监管方式      (    )
</t>
    </r>
    <r>
      <rPr>
        <b/>
        <sz val="9"/>
        <rFont val="微软雅黑"/>
        <charset val="134"/>
      </rPr>
      <t>一般贸易</t>
    </r>
  </si>
  <si>
    <r>
      <rPr>
        <sz val="9"/>
        <rFont val="微软雅黑"/>
        <charset val="134"/>
      </rPr>
      <t xml:space="preserve">征免性质      (    )
</t>
    </r>
    <r>
      <rPr>
        <b/>
        <sz val="9"/>
        <rFont val="微软雅黑"/>
        <charset val="134"/>
      </rPr>
      <t>一般征税</t>
    </r>
  </si>
  <si>
    <t>许可证号</t>
  </si>
  <si>
    <t>合同协议号：</t>
  </si>
  <si>
    <t>贸易国(地区):</t>
  </si>
  <si>
    <t>运抵国(地区)：</t>
  </si>
  <si>
    <t>指运港：</t>
  </si>
  <si>
    <r>
      <rPr>
        <sz val="11"/>
        <color rgb="FFFF0000"/>
        <rFont val="微软雅黑"/>
        <charset val="134"/>
      </rPr>
      <t xml:space="preserve">离境口岸 </t>
    </r>
    <r>
      <rPr>
        <sz val="11"/>
        <rFont val="微软雅黑"/>
        <charset val="134"/>
      </rPr>
      <t>(    )跨境的才需要申报</t>
    </r>
  </si>
  <si>
    <t>EF-C26037-AVP1</t>
  </si>
  <si>
    <t>美国</t>
  </si>
  <si>
    <t>包装种类：</t>
  </si>
  <si>
    <t>件数</t>
  </si>
  <si>
    <t>毛重（千克）</t>
  </si>
  <si>
    <t>净重（千克）</t>
  </si>
  <si>
    <t>成交方式 (  )</t>
  </si>
  <si>
    <t>运费</t>
  </si>
  <si>
    <t>保费</t>
  </si>
  <si>
    <t>杂费</t>
  </si>
  <si>
    <t>纸箱</t>
  </si>
  <si>
    <t>FOB</t>
  </si>
  <si>
    <r>
      <rPr>
        <sz val="9"/>
        <rFont val="微软雅黑"/>
        <charset val="204"/>
      </rPr>
      <t xml:space="preserve">随附单证及编号
</t>
    </r>
    <r>
      <rPr>
        <sz val="9"/>
        <color rgb="FFFF0000"/>
        <rFont val="微软雅黑"/>
        <charset val="204"/>
      </rPr>
      <t xml:space="preserve">   境外收货人完整    ： </t>
    </r>
  </si>
  <si>
    <t>标记唛码及备注：
备注：
                                                                                                    报关联系电话：</t>
  </si>
  <si>
    <r>
      <rPr>
        <b/>
        <sz val="9"/>
        <rFont val="微软雅黑"/>
        <charset val="134"/>
      </rPr>
      <t>特殊关系确认</t>
    </r>
    <r>
      <rPr>
        <sz val="9"/>
        <rFont val="微软雅黑"/>
        <charset val="134"/>
      </rPr>
      <t xml:space="preserve"> </t>
    </r>
    <r>
      <rPr>
        <b/>
        <sz val="9"/>
        <rFont val="微软雅黑"/>
        <charset val="134"/>
      </rPr>
      <t>:</t>
    </r>
  </si>
  <si>
    <t>价格影响确认：</t>
  </si>
  <si>
    <r>
      <rPr>
        <b/>
        <sz val="9"/>
        <rFont val="微软雅黑"/>
        <charset val="134"/>
      </rPr>
      <t>支付特许权使用费</t>
    </r>
    <r>
      <rPr>
        <sz val="9"/>
        <rFont val="微软雅黑"/>
        <charset val="134"/>
      </rPr>
      <t xml:space="preserve"> </t>
    </r>
    <r>
      <rPr>
        <b/>
        <sz val="9"/>
        <rFont val="微软雅黑"/>
        <charset val="134"/>
      </rPr>
      <t>:</t>
    </r>
  </si>
  <si>
    <r>
      <rPr>
        <b/>
        <sz val="9"/>
        <rFont val="微软雅黑"/>
        <charset val="134"/>
      </rPr>
      <t>自报自缴</t>
    </r>
    <r>
      <rPr>
        <sz val="9"/>
        <rFont val="微软雅黑"/>
        <charset val="134"/>
      </rPr>
      <t xml:space="preserve"> </t>
    </r>
    <r>
      <rPr>
        <b/>
        <sz val="9"/>
        <rFont val="微软雅黑"/>
        <charset val="134"/>
      </rPr>
      <t>:</t>
    </r>
    <r>
      <rPr>
        <sz val="9"/>
        <rFont val="微软雅黑"/>
        <charset val="134"/>
      </rPr>
      <t xml:space="preserve"> </t>
    </r>
    <r>
      <rPr>
        <b/>
        <sz val="8"/>
        <rFont val="微软雅黑"/>
        <charset val="134"/>
      </rPr>
      <t>出口不填</t>
    </r>
  </si>
  <si>
    <t>原产国/目的国/货源地未注明的项默认与提供的项相同</t>
  </si>
  <si>
    <r>
      <rPr>
        <sz val="9"/>
        <rFont val="微软雅黑"/>
        <charset val="134"/>
      </rPr>
      <t xml:space="preserve">  项号      </t>
    </r>
    <r>
      <rPr>
        <sz val="9"/>
        <color rgb="FFFF0000"/>
        <rFont val="微软雅黑"/>
        <charset val="134"/>
      </rPr>
      <t xml:space="preserve">商品编号                       </t>
    </r>
    <r>
      <rPr>
        <sz val="9"/>
        <rFont val="微软雅黑"/>
        <charset val="134"/>
      </rPr>
      <t xml:space="preserve">商品名称及规格型号                         数量及单位        </t>
    </r>
    <r>
      <rPr>
        <sz val="9"/>
        <color rgb="FFFF0000"/>
        <rFont val="微软雅黑"/>
        <charset val="134"/>
      </rPr>
      <t xml:space="preserve">单价/总价/币制   </t>
    </r>
    <r>
      <rPr>
        <sz val="9"/>
        <rFont val="微软雅黑"/>
        <charset val="134"/>
      </rPr>
      <t xml:space="preserve">原产国（地区）    最终目的国（地区）         </t>
    </r>
    <r>
      <rPr>
        <sz val="9"/>
        <color rgb="FFFF0000"/>
        <rFont val="微软雅黑"/>
        <charset val="134"/>
      </rPr>
      <t xml:space="preserve">境内货源地         </t>
    </r>
    <r>
      <rPr>
        <sz val="9"/>
        <rFont val="微软雅黑"/>
        <charset val="134"/>
      </rPr>
      <t>征免</t>
    </r>
  </si>
  <si>
    <t>毛重(KG)</t>
  </si>
  <si>
    <t>净重(KG)</t>
  </si>
  <si>
    <t>纺织产品桌布
0|0|餐桌用|机织|100% 聚酯纤维</t>
  </si>
  <si>
    <t>件</t>
  </si>
  <si>
    <t>美元</t>
  </si>
  <si>
    <t>中国</t>
  </si>
  <si>
    <t>深圳特区</t>
  </si>
  <si>
    <t>申报要素</t>
  </si>
  <si>
    <t>序号</t>
  </si>
  <si>
    <t>品名</t>
  </si>
  <si>
    <t>海关HS编码</t>
  </si>
  <si>
    <t>检疫附加码</t>
  </si>
  <si>
    <t>品牌</t>
  </si>
  <si>
    <t>型号</t>
  </si>
  <si>
    <t>品牌类型</t>
  </si>
  <si>
    <t>出口享惠情况</t>
  </si>
  <si>
    <t>其他申报要素</t>
  </si>
  <si>
    <t>纺织产品桌布</t>
  </si>
  <si>
    <t>无</t>
  </si>
  <si>
    <t>2不确定享惠</t>
  </si>
  <si>
    <t>1:品名：纺织产品桌布;2:品牌类型：无;3:出口享惠情况：不确定享惠; ;4:表面材质及成分含量：聚酯纤维</t>
  </si>
  <si>
    <t>發票</t>
  </si>
  <si>
    <r>
      <rPr>
        <b/>
        <sz val="23"/>
        <rFont val="SimSun"/>
        <charset val="134"/>
      </rPr>
      <t>INVOICE</t>
    </r>
  </si>
  <si>
    <r>
      <rPr>
        <sz val="11"/>
        <rFont val="SimSun"/>
        <charset val="134"/>
      </rPr>
      <t>編   號</t>
    </r>
  </si>
  <si>
    <r>
      <rPr>
        <sz val="11"/>
        <rFont val="SimSun"/>
        <charset val="134"/>
      </rPr>
      <t>NO:</t>
    </r>
  </si>
  <si>
    <r>
      <rPr>
        <sz val="12"/>
        <rFont val="SimSun"/>
        <charset val="134"/>
      </rPr>
      <t>商  號</t>
    </r>
  </si>
  <si>
    <t xml:space="preserve">  Amazon.com Services, Inc.</t>
  </si>
  <si>
    <r>
      <rPr>
        <sz val="12"/>
        <rFont val="SimSun"/>
        <charset val="134"/>
      </rPr>
      <t>日  期</t>
    </r>
  </si>
  <si>
    <r>
      <rPr>
        <sz val="12"/>
        <rFont val="SimSun"/>
        <charset val="134"/>
      </rPr>
      <t>Sold to Massrs:</t>
    </r>
  </si>
  <si>
    <r>
      <rPr>
        <sz val="12"/>
        <rFont val="SimSun"/>
        <charset val="134"/>
      </rPr>
      <t>DATE:</t>
    </r>
  </si>
  <si>
    <r>
      <rPr>
        <sz val="12"/>
        <rFont val="SimSun"/>
        <charset val="134"/>
      </rPr>
      <t>成交方式：</t>
    </r>
  </si>
  <si>
    <r>
      <rPr>
        <sz val="12"/>
        <rFont val="SimSun"/>
        <charset val="134"/>
      </rPr>
      <t>FOB SHENZHEN</t>
    </r>
  </si>
  <si>
    <r>
      <rPr>
        <sz val="12"/>
        <rFont val="SimSun"/>
        <charset val="134"/>
      </rPr>
      <t xml:space="preserve">標記號碼
</t>
    </r>
    <r>
      <rPr>
        <sz val="12"/>
        <rFont val="SimSun"/>
        <charset val="134"/>
      </rPr>
      <t>Mark &amp; No</t>
    </r>
  </si>
  <si>
    <r>
      <rPr>
        <sz val="12"/>
        <rFont val="SimSun"/>
        <charset val="134"/>
      </rPr>
      <t xml:space="preserve">貨物名稱
</t>
    </r>
    <r>
      <rPr>
        <sz val="12"/>
        <rFont val="SimSun"/>
        <charset val="134"/>
      </rPr>
      <t>Description</t>
    </r>
  </si>
  <si>
    <r>
      <rPr>
        <sz val="12"/>
        <rFont val="SimSun"/>
        <charset val="134"/>
      </rPr>
      <t xml:space="preserve">  數量
</t>
    </r>
    <r>
      <rPr>
        <sz val="12"/>
        <rFont val="SimSun"/>
        <charset val="134"/>
      </rPr>
      <t>Quantity</t>
    </r>
  </si>
  <si>
    <r>
      <rPr>
        <sz val="12"/>
        <rFont val="SimSun"/>
        <charset val="134"/>
      </rPr>
      <t xml:space="preserve">單價
</t>
    </r>
    <r>
      <rPr>
        <sz val="12"/>
        <rFont val="SimSun"/>
        <charset val="134"/>
      </rPr>
      <t>Unit price</t>
    </r>
  </si>
  <si>
    <r>
      <rPr>
        <sz val="12"/>
        <rFont val="SimSun"/>
        <charset val="134"/>
      </rPr>
      <t xml:space="preserve">總金額
</t>
    </r>
    <r>
      <rPr>
        <sz val="12"/>
        <rFont val="SimSun"/>
        <charset val="134"/>
      </rPr>
      <t>Amount</t>
    </r>
  </si>
  <si>
    <t>FBA19CNNVCHX</t>
  </si>
  <si>
    <t>总数：</t>
  </si>
  <si>
    <t>TOTAL:</t>
  </si>
  <si>
    <r>
      <rPr>
        <b/>
        <sz val="14"/>
        <rFont val="SimSun"/>
        <charset val="134"/>
      </rPr>
      <t>唛头</t>
    </r>
  </si>
  <si>
    <r>
      <rPr>
        <b/>
        <sz val="12"/>
        <rFont val="SimSun"/>
        <charset val="134"/>
      </rPr>
      <t>备注：</t>
    </r>
  </si>
  <si>
    <r>
      <rPr>
        <b/>
        <sz val="14"/>
        <rFont val="SimSun"/>
        <charset val="134"/>
      </rPr>
      <t>Marks</t>
    </r>
  </si>
  <si>
    <r>
      <rPr>
        <b/>
        <sz val="21"/>
        <rFont val="SimSun"/>
        <charset val="134"/>
      </rPr>
      <t>装</t>
    </r>
    <r>
      <rPr>
        <sz val="21"/>
        <rFont val="SimSun"/>
        <charset val="134"/>
      </rPr>
      <t xml:space="preserve">  </t>
    </r>
    <r>
      <rPr>
        <b/>
        <sz val="21"/>
        <rFont val="SimSun"/>
        <charset val="134"/>
      </rPr>
      <t>箱</t>
    </r>
    <r>
      <rPr>
        <sz val="21"/>
        <rFont val="SimSun"/>
        <charset val="134"/>
      </rPr>
      <t xml:space="preserve">  </t>
    </r>
    <r>
      <rPr>
        <b/>
        <sz val="21"/>
        <rFont val="SimSun"/>
        <charset val="134"/>
      </rPr>
      <t>单</t>
    </r>
  </si>
  <si>
    <r>
      <rPr>
        <sz val="12"/>
        <rFont val="SimSun"/>
        <charset val="134"/>
      </rPr>
      <t>日期</t>
    </r>
  </si>
  <si>
    <r>
      <rPr>
        <sz val="21"/>
        <rFont val="SimSun"/>
        <charset val="134"/>
      </rPr>
      <t xml:space="preserve"> </t>
    </r>
    <r>
      <rPr>
        <b/>
        <sz val="21"/>
        <rFont val="SimSun"/>
        <charset val="134"/>
      </rPr>
      <t>PACKING</t>
    </r>
    <r>
      <rPr>
        <sz val="21"/>
        <rFont val="SimSun"/>
        <charset val="134"/>
      </rPr>
      <t xml:space="preserve"> </t>
    </r>
    <r>
      <rPr>
        <b/>
        <sz val="21"/>
        <rFont val="SimSun"/>
        <charset val="134"/>
      </rPr>
      <t>LIST</t>
    </r>
  </si>
  <si>
    <r>
      <rPr>
        <sz val="12"/>
        <rFont val="Times New Roman"/>
        <charset val="134"/>
      </rPr>
      <t>Date</t>
    </r>
    <r>
      <rPr>
        <sz val="12"/>
        <rFont val="SimSun"/>
        <charset val="134"/>
      </rPr>
      <t>：</t>
    </r>
  </si>
  <si>
    <r>
      <rPr>
        <sz val="12"/>
        <rFont val="SimSun"/>
        <charset val="134"/>
      </rPr>
      <t>发票编号</t>
    </r>
  </si>
  <si>
    <r>
      <rPr>
        <sz val="12"/>
        <rFont val="Times New Roman"/>
        <charset val="134"/>
      </rPr>
      <t>Invoice No:</t>
    </r>
  </si>
  <si>
    <r>
      <rPr>
        <sz val="12"/>
        <rFont val="SimSun"/>
        <charset val="134"/>
      </rPr>
      <t>客户</t>
    </r>
  </si>
  <si>
    <t>许昌易尚电子商务有限公司</t>
  </si>
  <si>
    <r>
      <rPr>
        <sz val="12"/>
        <rFont val="SimSun"/>
        <charset val="134"/>
      </rPr>
      <t>合同号</t>
    </r>
  </si>
  <si>
    <r>
      <rPr>
        <sz val="11"/>
        <rFont val="SimSun"/>
        <charset val="134"/>
      </rPr>
      <t>To Messrs:</t>
    </r>
  </si>
  <si>
    <r>
      <rPr>
        <sz val="12"/>
        <rFont val="Times New Roman"/>
        <charset val="134"/>
      </rPr>
      <t>Contract No:</t>
    </r>
  </si>
  <si>
    <r>
      <rPr>
        <sz val="12"/>
        <rFont val="SimSun"/>
        <charset val="134"/>
      </rPr>
      <t>船名</t>
    </r>
  </si>
  <si>
    <t>由深圳至</t>
  </si>
  <si>
    <r>
      <rPr>
        <sz val="12"/>
        <rFont val="SimSun"/>
        <charset val="134"/>
      </rPr>
      <t>付款条件              电汇</t>
    </r>
  </si>
  <si>
    <r>
      <rPr>
        <sz val="12"/>
        <rFont val="Times New Roman"/>
        <charset val="134"/>
      </rPr>
      <t xml:space="preserve">Shipped         </t>
    </r>
    <r>
      <rPr>
        <u/>
        <sz val="12"/>
        <rFont val="Times New Roman"/>
        <charset val="134"/>
      </rPr>
      <t xml:space="preserve">                                       </t>
    </r>
  </si>
  <si>
    <r>
      <rPr>
        <sz val="9"/>
        <rFont val="SimSun"/>
        <charset val="134"/>
      </rPr>
      <t xml:space="preserve">Terms of Payment: </t>
    </r>
    <r>
      <rPr>
        <u/>
        <sz val="9"/>
        <rFont val="SimSun"/>
        <charset val="134"/>
      </rPr>
      <t xml:space="preserve">                            </t>
    </r>
  </si>
  <si>
    <r>
      <rPr>
        <sz val="12"/>
        <rFont val="SimSun"/>
        <charset val="134"/>
      </rPr>
      <t xml:space="preserve">箱号
</t>
    </r>
    <r>
      <rPr>
        <sz val="12"/>
        <rFont val="SimSun"/>
        <charset val="134"/>
      </rPr>
      <t>Ctn.No.</t>
    </r>
  </si>
  <si>
    <r>
      <rPr>
        <sz val="12"/>
        <rFont val="SimSun"/>
        <charset val="134"/>
      </rPr>
      <t xml:space="preserve">货物名称及规格
</t>
    </r>
    <r>
      <rPr>
        <sz val="12"/>
        <rFont val="SimSun"/>
        <charset val="134"/>
      </rPr>
      <t>Description</t>
    </r>
  </si>
  <si>
    <r>
      <rPr>
        <sz val="11"/>
        <rFont val="SimSun"/>
        <charset val="134"/>
      </rPr>
      <t xml:space="preserve">箱数：
</t>
    </r>
    <r>
      <rPr>
        <sz val="11"/>
        <rFont val="SimSun"/>
        <charset val="134"/>
      </rPr>
      <t>Pkg：</t>
    </r>
  </si>
  <si>
    <r>
      <rPr>
        <sz val="12"/>
        <rFont val="SimSun"/>
        <charset val="134"/>
      </rPr>
      <t xml:space="preserve">数量：
</t>
    </r>
    <r>
      <rPr>
        <sz val="12"/>
        <rFont val="SimSun"/>
        <charset val="134"/>
      </rPr>
      <t>Ge.Quantity</t>
    </r>
  </si>
  <si>
    <r>
      <rPr>
        <sz val="12"/>
        <rFont val="SimSun"/>
        <charset val="134"/>
      </rPr>
      <t xml:space="preserve">毛重(KG)：
</t>
    </r>
    <r>
      <rPr>
        <sz val="12"/>
        <rFont val="SimSun"/>
        <charset val="134"/>
      </rPr>
      <t>G.W. (KG):</t>
    </r>
  </si>
  <si>
    <r>
      <rPr>
        <sz val="12"/>
        <rFont val="SimSun"/>
        <charset val="134"/>
      </rPr>
      <t xml:space="preserve">净重(KG)：
</t>
    </r>
    <r>
      <rPr>
        <sz val="12"/>
        <rFont val="SimSun"/>
        <charset val="134"/>
      </rPr>
      <t>N.W. (KG):</t>
    </r>
  </si>
  <si>
    <r>
      <rPr>
        <b/>
        <sz val="12"/>
        <rFont val="SimSun"/>
        <charset val="134"/>
      </rPr>
      <t xml:space="preserve">合计
</t>
    </r>
    <r>
      <rPr>
        <b/>
        <sz val="12"/>
        <rFont val="SimSun"/>
        <charset val="134"/>
      </rPr>
      <t>Total</t>
    </r>
  </si>
  <si>
    <r>
      <rPr>
        <sz val="12"/>
        <rFont val="SimSun"/>
        <charset val="134"/>
      </rPr>
      <t xml:space="preserve"> </t>
    </r>
    <r>
      <rPr>
        <b/>
        <sz val="12"/>
        <rFont val="SimSun"/>
        <charset val="134"/>
      </rPr>
      <t>唛头</t>
    </r>
  </si>
  <si>
    <r>
      <rPr>
        <b/>
        <sz val="12"/>
        <rFont val="SimSun"/>
        <charset val="134"/>
      </rPr>
      <t>Marks</t>
    </r>
  </si>
  <si>
    <r>
      <rPr>
        <b/>
        <sz val="23"/>
        <rFont val="SimSun"/>
        <charset val="204"/>
      </rPr>
      <t>合</t>
    </r>
    <r>
      <rPr>
        <sz val="23"/>
        <rFont val="SimSun"/>
        <charset val="204"/>
      </rPr>
      <t xml:space="preserve">   </t>
    </r>
    <r>
      <rPr>
        <b/>
        <sz val="23"/>
        <rFont val="SimSun"/>
        <charset val="204"/>
      </rPr>
      <t>同</t>
    </r>
  </si>
  <si>
    <r>
      <rPr>
        <b/>
        <u/>
        <sz val="21"/>
        <rFont val="SimSun"/>
        <charset val="134"/>
      </rPr>
      <t>SALES</t>
    </r>
    <r>
      <rPr>
        <u/>
        <sz val="21"/>
        <rFont val="SimSun"/>
        <charset val="134"/>
      </rPr>
      <t xml:space="preserve"> </t>
    </r>
    <r>
      <rPr>
        <u/>
        <sz val="19"/>
        <rFont val="Times New Roman"/>
        <charset val="134"/>
      </rPr>
      <t>CONTRACT</t>
    </r>
  </si>
  <si>
    <r>
      <rPr>
        <sz val="11"/>
        <rFont val="SimSun"/>
        <charset val="134"/>
      </rPr>
      <t>卖  方：</t>
    </r>
  </si>
  <si>
    <t xml:space="preserve"> 许昌易尚电子商务有限公司</t>
  </si>
  <si>
    <r>
      <rPr>
        <sz val="11"/>
        <rFont val="Times New Roman"/>
        <charset val="134"/>
      </rPr>
      <t>Sellers:</t>
    </r>
  </si>
  <si>
    <r>
      <rPr>
        <sz val="11"/>
        <rFont val="SimSun"/>
        <charset val="134"/>
      </rPr>
      <t>地  址：</t>
    </r>
  </si>
  <si>
    <t>7th Floor, Building 2, Xuchang Urban-Rural Integration Demonstration Zone, Furong Avenue E-Commerce Industrial Park, Xuchang City, Henan Province, China</t>
  </si>
  <si>
    <r>
      <rPr>
        <sz val="11"/>
        <rFont val="Times New Roman"/>
        <charset val="134"/>
      </rPr>
      <t>Address:</t>
    </r>
  </si>
  <si>
    <t>合同号码</t>
  </si>
  <si>
    <r>
      <rPr>
        <sz val="11"/>
        <rFont val="SimSun"/>
        <charset val="134"/>
      </rPr>
      <t>电  话：</t>
    </r>
  </si>
  <si>
    <r>
      <rPr>
        <sz val="11"/>
        <rFont val="SimSun"/>
        <charset val="134"/>
      </rPr>
      <t>传  真</t>
    </r>
  </si>
  <si>
    <t xml:space="preserve"> Contract No:    </t>
  </si>
  <si>
    <r>
      <rPr>
        <sz val="9"/>
        <rFont val="Times New Roman"/>
        <charset val="134"/>
      </rPr>
      <t>TEL:</t>
    </r>
  </si>
  <si>
    <r>
      <rPr>
        <sz val="11"/>
        <rFont val="Times New Roman"/>
        <charset val="134"/>
      </rPr>
      <t>FAX:</t>
    </r>
  </si>
  <si>
    <r>
      <rPr>
        <sz val="11"/>
        <rFont val="SimSun"/>
        <charset val="204"/>
      </rPr>
      <t xml:space="preserve">日  期 </t>
    </r>
    <r>
      <rPr>
        <sz val="11"/>
        <color rgb="FF999999"/>
        <rFont val="Arial"/>
        <charset val="204"/>
      </rPr>
      <t>—______</t>
    </r>
  </si>
  <si>
    <t>买 方：</t>
  </si>
  <si>
    <t xml:space="preserve"> </t>
  </si>
  <si>
    <t xml:space="preserve">    Date:</t>
  </si>
  <si>
    <r>
      <rPr>
        <sz val="11"/>
        <rFont val="Times New Roman"/>
        <charset val="134"/>
      </rPr>
      <t>Buyers</t>
    </r>
    <r>
      <rPr>
        <sz val="11"/>
        <rFont val="SimSun"/>
        <charset val="134"/>
      </rPr>
      <t>：</t>
    </r>
  </si>
  <si>
    <r>
      <rPr>
        <sz val="9"/>
        <rFont val="SimSun"/>
        <charset val="134"/>
      </rPr>
      <t>签约地点</t>
    </r>
    <r>
      <rPr>
        <sz val="9"/>
        <color rgb="FF767676"/>
        <rFont val="Arial"/>
        <charset val="134"/>
      </rPr>
      <t>—_______</t>
    </r>
  </si>
  <si>
    <r>
      <rPr>
        <sz val="11"/>
        <rFont val="SimSun"/>
        <charset val="134"/>
      </rPr>
      <t>地 址：</t>
    </r>
  </si>
  <si>
    <r>
      <rPr>
        <sz val="11"/>
        <rFont val="Times New Roman"/>
        <charset val="204"/>
      </rPr>
      <t xml:space="preserve">Signed at:                   </t>
    </r>
    <r>
      <rPr>
        <sz val="12"/>
        <rFont val="SimSun"/>
        <charset val="204"/>
      </rPr>
      <t>深圳</t>
    </r>
  </si>
  <si>
    <r>
      <rPr>
        <sz val="9"/>
        <rFont val="SimSun"/>
        <charset val="204"/>
      </rPr>
      <t>成交方式：</t>
    </r>
    <r>
      <rPr>
        <sz val="9"/>
        <rFont val="Arial"/>
        <charset val="204"/>
      </rPr>
      <t>FOB</t>
    </r>
  </si>
  <si>
    <r>
      <rPr>
        <sz val="11"/>
        <rFont val="SimSun"/>
        <charset val="134"/>
      </rPr>
      <t>电 话</t>
    </r>
  </si>
  <si>
    <r>
      <rPr>
        <sz val="9"/>
        <rFont val="SimSun"/>
        <charset val="134"/>
      </rPr>
      <t xml:space="preserve">  传 真
</t>
    </r>
    <r>
      <rPr>
        <sz val="9"/>
        <rFont val="Times New Roman"/>
        <charset val="134"/>
      </rPr>
      <t>FAX:</t>
    </r>
  </si>
  <si>
    <r>
      <rPr>
        <sz val="9"/>
        <rFont val="SimSun"/>
        <charset val="134"/>
      </rPr>
      <t>Trade Term :  FOB  SHENZHEN</t>
    </r>
  </si>
  <si>
    <r>
      <rPr>
        <sz val="9"/>
        <rFont val="SimSun"/>
        <charset val="134"/>
      </rPr>
      <t>经买卖双方确认根据下列条款订立本合同</t>
    </r>
  </si>
  <si>
    <r>
      <rPr>
        <sz val="9"/>
        <rFont val="Times New Roman"/>
        <charset val="134"/>
      </rPr>
      <t>This contract is made out by the Sellers and Buyers as per the following terms and conditions mutuilly confirmed:</t>
    </r>
  </si>
  <si>
    <r>
      <rPr>
        <sz val="11"/>
        <rFont val="Times New Roman"/>
        <charset val="134"/>
      </rPr>
      <t>(1)</t>
    </r>
    <r>
      <rPr>
        <sz val="11"/>
        <rFont val="SimSun"/>
        <charset val="134"/>
      </rPr>
      <t xml:space="preserve">货物名称
</t>
    </r>
    <r>
      <rPr>
        <sz val="11"/>
        <rFont val="Times New Roman"/>
        <charset val="134"/>
      </rPr>
      <t>Name of commodity</t>
    </r>
  </si>
  <si>
    <r>
      <rPr>
        <sz val="11"/>
        <rFont val="Times New Roman"/>
        <charset val="134"/>
      </rPr>
      <t xml:space="preserve">(2) </t>
    </r>
    <r>
      <rPr>
        <sz val="11"/>
        <rFont val="SimSun"/>
        <charset val="134"/>
      </rPr>
      <t xml:space="preserve">数 量
</t>
    </r>
    <r>
      <rPr>
        <sz val="11"/>
        <rFont val="Times New Roman"/>
        <charset val="134"/>
      </rPr>
      <t>Quantity</t>
    </r>
  </si>
  <si>
    <r>
      <rPr>
        <sz val="11"/>
        <rFont val="Times New Roman"/>
        <charset val="134"/>
      </rPr>
      <t>(3)</t>
    </r>
    <r>
      <rPr>
        <sz val="11"/>
        <rFont val="SimSun"/>
        <charset val="134"/>
      </rPr>
      <t xml:space="preserve">单 位
</t>
    </r>
    <r>
      <rPr>
        <sz val="11"/>
        <rFont val="Times New Roman"/>
        <charset val="134"/>
      </rPr>
      <t>Unit</t>
    </r>
  </si>
  <si>
    <r>
      <rPr>
        <sz val="11"/>
        <rFont val="Times New Roman"/>
        <charset val="134"/>
      </rPr>
      <t>(4)</t>
    </r>
    <r>
      <rPr>
        <sz val="11"/>
        <rFont val="SimSun"/>
        <charset val="134"/>
      </rPr>
      <t xml:space="preserve">单价
</t>
    </r>
    <r>
      <rPr>
        <sz val="11"/>
        <rFont val="Times New Roman"/>
        <charset val="134"/>
      </rPr>
      <t>Unit Price</t>
    </r>
  </si>
  <si>
    <r>
      <rPr>
        <sz val="11"/>
        <rFont val="Times New Roman"/>
        <charset val="204"/>
      </rPr>
      <t xml:space="preserve">(5)   </t>
    </r>
    <r>
      <rPr>
        <sz val="11"/>
        <rFont val="SimSun"/>
        <charset val="204"/>
      </rPr>
      <t>金 额</t>
    </r>
    <r>
      <rPr>
        <sz val="11"/>
        <rFont val="Arial"/>
        <charset val="204"/>
      </rPr>
      <t>(USD)</t>
    </r>
    <r>
      <rPr>
        <sz val="11"/>
        <rFont val="SimSun"/>
        <charset val="204"/>
      </rPr>
      <t xml:space="preserve">
</t>
    </r>
    <r>
      <rPr>
        <sz val="11"/>
        <rFont val="Times New Roman"/>
        <charset val="204"/>
      </rPr>
      <t>Amount</t>
    </r>
  </si>
  <si>
    <r>
      <rPr>
        <sz val="9"/>
        <rFont val="SimSun"/>
        <charset val="204"/>
      </rPr>
      <t xml:space="preserve">数量及总值允许有 </t>
    </r>
    <r>
      <rPr>
        <sz val="9"/>
        <rFont val="Times New Roman"/>
        <charset val="204"/>
      </rPr>
      <t>2 %</t>
    </r>
    <r>
      <rPr>
        <sz val="9"/>
        <rFont val="SimSun"/>
        <charset val="204"/>
      </rPr>
      <t xml:space="preserve">的增减。                                               </t>
    </r>
    <r>
      <rPr>
        <b/>
        <sz val="12"/>
        <rFont val="SimSun"/>
        <charset val="204"/>
      </rPr>
      <t>总</t>
    </r>
    <r>
      <rPr>
        <sz val="12"/>
        <rFont val="SimSun"/>
        <charset val="204"/>
      </rPr>
      <t xml:space="preserve">   </t>
    </r>
    <r>
      <rPr>
        <b/>
        <sz val="12"/>
        <rFont val="SimSun"/>
        <charset val="204"/>
      </rPr>
      <t>值</t>
    </r>
    <r>
      <rPr>
        <b/>
        <sz val="12"/>
        <rFont val="Arial"/>
        <charset val="204"/>
      </rPr>
      <t>(USD)</t>
    </r>
    <r>
      <rPr>
        <b/>
        <sz val="12"/>
        <rFont val="SimSun"/>
        <charset val="204"/>
      </rPr>
      <t xml:space="preserve">
</t>
    </r>
    <r>
      <rPr>
        <sz val="9"/>
        <rFont val="Times New Roman"/>
        <charset val="204"/>
      </rPr>
      <t xml:space="preserve">2  % more or less both in amount and quantity allowed.                                                  </t>
    </r>
    <r>
      <rPr>
        <b/>
        <sz val="9"/>
        <rFont val="Times New Roman"/>
        <charset val="204"/>
      </rPr>
      <t>Total Amount:</t>
    </r>
  </si>
  <si>
    <t xml:space="preserve">(6)合同总值（USD）  </t>
  </si>
  <si>
    <r>
      <rPr>
        <sz val="9"/>
        <rFont val="Times New Roman"/>
        <charset val="134"/>
      </rPr>
      <t>Total Value in Word:SEVEN HUNDRED AND SEVEN AND SEVENTY ONLY.</t>
    </r>
  </si>
  <si>
    <r>
      <rPr>
        <sz val="12"/>
        <rFont val="Times New Roman"/>
        <charset val="134"/>
      </rPr>
      <t>(7)</t>
    </r>
    <r>
      <rPr>
        <sz val="12"/>
        <rFont val="SimSun"/>
        <charset val="134"/>
      </rPr>
      <t>包装及唛头</t>
    </r>
  </si>
  <si>
    <r>
      <rPr>
        <sz val="9"/>
        <rFont val="Times New Roman"/>
        <charset val="134"/>
      </rPr>
      <t xml:space="preserve">Packing and shipping Marks:
</t>
    </r>
    <r>
      <rPr>
        <sz val="12"/>
        <rFont val="Times New Roman"/>
        <charset val="134"/>
      </rPr>
      <t>(8)</t>
    </r>
    <r>
      <rPr>
        <sz val="12"/>
        <rFont val="SimSun"/>
        <charset val="134"/>
      </rPr>
      <t>装运期</t>
    </r>
  </si>
  <si>
    <t xml:space="preserve">Time of Shipment:               </t>
  </si>
  <si>
    <t>之前</t>
  </si>
  <si>
    <r>
      <rPr>
        <sz val="12"/>
        <rFont val="Times New Roman"/>
        <charset val="204"/>
      </rPr>
      <t>(9)</t>
    </r>
    <r>
      <rPr>
        <sz val="12"/>
        <rFont val="SimSun"/>
        <charset val="204"/>
      </rPr>
      <t>装运口岸和目的地</t>
    </r>
  </si>
  <si>
    <t>深圳--</t>
  </si>
  <si>
    <t>准许分批与转船。</t>
  </si>
  <si>
    <r>
      <rPr>
        <sz val="12"/>
        <rFont val="Times New Roman"/>
        <charset val="204"/>
      </rPr>
      <t>Loading Port &amp; Destination:From  Shenzhen-- To Hongkong with transhipment and partial ship ments allowed
(10)</t>
    </r>
    <r>
      <rPr>
        <sz val="12"/>
        <rFont val="SimSun"/>
        <charset val="204"/>
      </rPr>
      <t>保险：由买方按发票全部金额</t>
    </r>
    <r>
      <rPr>
        <sz val="12"/>
        <rFont val="Times New Roman"/>
        <charset val="204"/>
      </rPr>
      <t>110%</t>
    </r>
    <r>
      <rPr>
        <sz val="12"/>
        <rFont val="SimSun"/>
        <charset val="204"/>
      </rPr>
      <t xml:space="preserve">投保至 为止的  险。按中国海洋运输保险条款
</t>
    </r>
    <r>
      <rPr>
        <sz val="9"/>
        <rFont val="Times New Roman"/>
        <charset val="204"/>
      </rPr>
      <t xml:space="preserve">Insurance:To be covered by the Buyer  for 110% of full invoice value covering   up  to only,subject to C.I.C.
</t>
    </r>
    <r>
      <rPr>
        <sz val="12"/>
        <rFont val="Times New Roman"/>
        <charset val="204"/>
      </rPr>
      <t>(11)</t>
    </r>
    <r>
      <rPr>
        <sz val="12"/>
        <rFont val="SimSun"/>
        <charset val="204"/>
      </rPr>
      <t xml:space="preserve">付款条件             电汇
</t>
    </r>
    <r>
      <rPr>
        <sz val="12"/>
        <rFont val="Times New Roman"/>
        <charset val="204"/>
      </rPr>
      <t>Terms of Payment
(12)</t>
    </r>
    <r>
      <rPr>
        <sz val="12"/>
        <rFont val="SimSun"/>
        <charset val="204"/>
      </rPr>
      <t xml:space="preserve">装运标记
</t>
    </r>
    <r>
      <rPr>
        <sz val="12"/>
        <rFont val="Times New Roman"/>
        <charset val="204"/>
      </rPr>
      <t>Shipping Marks:</t>
    </r>
  </si>
  <si>
    <r>
      <rPr>
        <sz val="12"/>
        <rFont val="SimSun"/>
        <charset val="134"/>
      </rPr>
      <t>买 方</t>
    </r>
  </si>
  <si>
    <r>
      <rPr>
        <sz val="12"/>
        <rFont val="SimSun"/>
        <charset val="134"/>
      </rPr>
      <t>卖 方</t>
    </r>
  </si>
  <si>
    <r>
      <rPr>
        <u/>
        <sz val="12"/>
        <rFont val="Times New Roman"/>
        <charset val="134"/>
      </rPr>
      <t>THE BUYERS</t>
    </r>
  </si>
  <si>
    <r>
      <rPr>
        <sz val="12"/>
        <rFont val="Times New Roman"/>
        <charset val="134"/>
      </rPr>
      <t xml:space="preserve">  </t>
    </r>
    <r>
      <rPr>
        <u/>
        <sz val="12"/>
        <rFont val="Times New Roman"/>
        <charset val="134"/>
      </rPr>
      <t>THE SELLERS</t>
    </r>
  </si>
  <si>
    <r>
      <rPr>
        <sz val="12"/>
        <rFont val="Times New Roman"/>
        <charset val="204"/>
      </rPr>
      <t>(</t>
    </r>
    <r>
      <rPr>
        <sz val="12"/>
        <rFont val="宋体"/>
        <charset val="204"/>
      </rPr>
      <t>香港年轻兄弟科技有限公司</t>
    </r>
    <r>
      <rPr>
        <sz val="12"/>
        <rFont val="Times New Roman"/>
        <charset val="204"/>
      </rPr>
      <t>)</t>
    </r>
  </si>
  <si>
    <r>
      <rPr>
        <sz val="12"/>
        <rFont val="Times New Roman"/>
        <charset val="204"/>
      </rPr>
      <t>(</t>
    </r>
    <r>
      <rPr>
        <sz val="12"/>
        <rFont val="宋体"/>
        <charset val="204"/>
      </rPr>
      <t>深圳市海思拓普科技有限公司</t>
    </r>
    <r>
      <rPr>
        <sz val="12"/>
        <rFont val="Times New Roman"/>
        <charset val="204"/>
      </rPr>
      <t>)</t>
    </r>
  </si>
  <si>
    <r>
      <rPr>
        <b/>
        <sz val="14"/>
        <rFont val="SimSun"/>
        <charset val="134"/>
      </rPr>
      <t>代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理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报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关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委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托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书</t>
    </r>
  </si>
  <si>
    <r>
      <rPr>
        <sz val="12"/>
        <rFont val="SimSun"/>
        <charset val="134"/>
      </rPr>
      <t>编号： □□□□□□□□□□□</t>
    </r>
  </si>
  <si>
    <r>
      <rPr>
        <sz val="9"/>
        <rFont val="SimSun"/>
        <charset val="134"/>
      </rPr>
      <t xml:space="preserve">     我单位现  </t>
    </r>
    <r>
      <rPr>
        <b/>
        <sz val="9"/>
        <rFont val="SimSun"/>
        <charset val="134"/>
      </rPr>
      <t>A</t>
    </r>
    <r>
      <rPr>
        <sz val="9"/>
        <rFont val="SimSun"/>
        <charset val="134"/>
      </rPr>
      <t xml:space="preserve">   (A逐票、B长期)委托贵公司代理   </t>
    </r>
    <r>
      <rPr>
        <b/>
        <sz val="9"/>
        <rFont val="SimSun"/>
        <charset val="134"/>
      </rPr>
      <t>AB</t>
    </r>
    <r>
      <rPr>
        <sz val="9"/>
        <rFont val="SimSun"/>
        <charset val="134"/>
      </rPr>
      <t xml:space="preserve">  等通关事宜。  （A、填单申报 B、辅助查验 C、
</t>
    </r>
    <r>
      <rPr>
        <sz val="9"/>
        <rFont val="SimSun"/>
        <charset val="134"/>
      </rPr>
      <t xml:space="preserve">垫缴税款 D、办理海关证明联 E、审批手册 F、核销手册 G、 申办减免税手续 H、其他 ）详见《委托报关协
</t>
    </r>
    <r>
      <rPr>
        <sz val="9"/>
        <rFont val="SimSun"/>
        <charset val="134"/>
      </rPr>
      <t>议》。</t>
    </r>
  </si>
  <si>
    <r>
      <rPr>
        <sz val="9"/>
        <rFont val="SimSun"/>
        <charset val="134"/>
      </rPr>
      <t xml:space="preserve">    我单位保证遵守《海关法》和国家有关法规，保证所提供的情况真实、完整、单货相符，无侵犯他
</t>
    </r>
    <r>
      <rPr>
        <sz val="9"/>
        <rFont val="SimSun"/>
        <charset val="134"/>
      </rPr>
      <t>人知识产权的行为。否则，愿承担相关法律责任。</t>
    </r>
  </si>
  <si>
    <t xml:space="preserve"> 本委托书有效期自签字之日起至    </t>
  </si>
  <si>
    <r>
      <rPr>
        <sz val="11"/>
        <rFont val="SimSun"/>
        <charset val="134"/>
      </rPr>
      <t>委托方（盖章）：</t>
    </r>
  </si>
  <si>
    <r>
      <rPr>
        <sz val="11"/>
        <rFont val="SimSun"/>
        <charset val="134"/>
      </rPr>
      <t>法定代表人或其授权签署《代理报关委托书》的人（签字）</t>
    </r>
  </si>
  <si>
    <r>
      <rPr>
        <b/>
        <sz val="14"/>
        <rFont val="SimSun"/>
        <charset val="134"/>
      </rPr>
      <t>委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托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报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关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协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议</t>
    </r>
  </si>
  <si>
    <t>为明确委托报关具体事项和各自责任，双方经平等协商签定协议如下：</t>
  </si>
  <si>
    <r>
      <rPr>
        <sz val="9"/>
        <rFont val="SimSun"/>
        <charset val="134"/>
      </rPr>
      <t>委托方</t>
    </r>
  </si>
  <si>
    <t xml:space="preserve">许昌易尚电子商务有限公司 </t>
  </si>
  <si>
    <r>
      <rPr>
        <sz val="9"/>
        <rFont val="SimSun"/>
        <charset val="134"/>
      </rPr>
      <t>被委托方</t>
    </r>
  </si>
  <si>
    <r>
      <rPr>
        <sz val="9"/>
        <rFont val="SimSun"/>
        <charset val="134"/>
      </rPr>
      <t>主要货物名称</t>
    </r>
  </si>
  <si>
    <t>聚酯纤维桌布</t>
  </si>
  <si>
    <r>
      <rPr>
        <sz val="9"/>
        <rFont val="SimSun"/>
        <charset val="134"/>
      </rPr>
      <t>*报关单编码</t>
    </r>
  </si>
  <si>
    <t>HS编码</t>
  </si>
  <si>
    <r>
      <rPr>
        <sz val="9"/>
        <rFont val="SimSun"/>
        <charset val="134"/>
      </rPr>
      <t>收到单证日期</t>
    </r>
  </si>
  <si>
    <t>货物总价</t>
  </si>
  <si>
    <r>
      <rPr>
        <sz val="9"/>
        <rFont val="SimSun"/>
        <charset val="134"/>
      </rPr>
      <t>收到单证情况</t>
    </r>
  </si>
  <si>
    <r>
      <rPr>
        <sz val="9"/>
        <rFont val="SimSun"/>
        <charset val="134"/>
      </rPr>
      <t>合同□√</t>
    </r>
  </si>
  <si>
    <r>
      <rPr>
        <sz val="9"/>
        <rFont val="SimSun"/>
        <charset val="134"/>
      </rPr>
      <t>发票□√</t>
    </r>
  </si>
  <si>
    <r>
      <rPr>
        <sz val="9"/>
        <rFont val="SimSun"/>
        <charset val="134"/>
      </rPr>
      <t>进出口日期</t>
    </r>
  </si>
  <si>
    <r>
      <rPr>
        <sz val="9"/>
        <rFont val="SimSun"/>
        <charset val="134"/>
      </rPr>
      <t>装箱清单□√</t>
    </r>
  </si>
  <si>
    <r>
      <rPr>
        <sz val="9"/>
        <rFont val="SimSun"/>
        <charset val="134"/>
      </rPr>
      <t>提（运）单□</t>
    </r>
  </si>
  <si>
    <r>
      <rPr>
        <sz val="9"/>
        <rFont val="SimSun"/>
        <charset val="134"/>
      </rPr>
      <t>提单号</t>
    </r>
  </si>
  <si>
    <r>
      <rPr>
        <sz val="9"/>
        <rFont val="SimSun"/>
        <charset val="134"/>
      </rPr>
      <t>加工贸易手册□</t>
    </r>
  </si>
  <si>
    <r>
      <rPr>
        <sz val="9"/>
        <rFont val="SimSun"/>
        <charset val="134"/>
      </rPr>
      <t>许可证件□</t>
    </r>
  </si>
  <si>
    <r>
      <rPr>
        <sz val="9"/>
        <rFont val="SimSun"/>
        <charset val="134"/>
      </rPr>
      <t>贸易方式</t>
    </r>
  </si>
  <si>
    <r>
      <rPr>
        <sz val="9"/>
        <rFont val="SimSun"/>
        <charset val="134"/>
      </rPr>
      <t>一般贸易</t>
    </r>
  </si>
  <si>
    <r>
      <rPr>
        <sz val="9"/>
        <rFont val="SimSun"/>
        <charset val="134"/>
      </rPr>
      <t>其他</t>
    </r>
  </si>
  <si>
    <r>
      <rPr>
        <sz val="9"/>
        <rFont val="SimSun"/>
        <charset val="134"/>
      </rPr>
      <t>原产地/货源地</t>
    </r>
  </si>
  <si>
    <r>
      <rPr>
        <sz val="9"/>
        <rFont val="SimSun"/>
        <charset val="134"/>
      </rPr>
      <t>中国</t>
    </r>
  </si>
  <si>
    <r>
      <rPr>
        <sz val="9"/>
        <rFont val="SimSun"/>
        <charset val="134"/>
      </rPr>
      <t>报关收费</t>
    </r>
  </si>
  <si>
    <r>
      <rPr>
        <sz val="9"/>
        <rFont val="SimSun"/>
        <charset val="134"/>
      </rPr>
      <t>人民币：         元</t>
    </r>
  </si>
  <si>
    <r>
      <rPr>
        <sz val="9"/>
        <rFont val="SimSun"/>
        <charset val="134"/>
      </rPr>
      <t>其他要求：</t>
    </r>
  </si>
  <si>
    <r>
      <rPr>
        <sz val="9"/>
        <rFont val="SimSun"/>
        <charset val="134"/>
      </rPr>
      <t>承诺说明：</t>
    </r>
  </si>
  <si>
    <t>背面所列通用条款是本协议不可分割的一部分，对本协议的签署构
成了对背面通用条款的同意。</t>
  </si>
  <si>
    <r>
      <rPr>
        <sz val="9"/>
        <rFont val="SimSun"/>
        <charset val="134"/>
      </rPr>
      <t>委托方业务签章：</t>
    </r>
  </si>
  <si>
    <r>
      <rPr>
        <sz val="9"/>
        <rFont val="SimSun"/>
        <charset val="134"/>
      </rPr>
      <t>被委托方业务签章：</t>
    </r>
  </si>
  <si>
    <r>
      <rPr>
        <sz val="9"/>
        <rFont val="SimSun"/>
        <charset val="134"/>
      </rPr>
      <t xml:space="preserve">经办人签章：
</t>
    </r>
    <r>
      <rPr>
        <sz val="9"/>
        <rFont val="SimSun"/>
        <charset val="134"/>
      </rPr>
      <t>联系电话：</t>
    </r>
  </si>
  <si>
    <r>
      <rPr>
        <sz val="9"/>
        <rFont val="SimSun"/>
        <charset val="134"/>
      </rPr>
      <t xml:space="preserve">经办报关员签章：
</t>
    </r>
    <r>
      <rPr>
        <sz val="9"/>
        <rFont val="SimSun"/>
        <charset val="134"/>
      </rPr>
      <t>联系电话：</t>
    </r>
  </si>
  <si>
    <r>
      <rPr>
        <sz val="9"/>
        <rFont val="SimSun"/>
        <charset val="134"/>
      </rPr>
      <t>（白联：海关留存、黄联：被委托方留存、红联：委托方留存）</t>
    </r>
  </si>
  <si>
    <r>
      <rPr>
        <sz val="9"/>
        <rFont val="SimSun"/>
        <charset val="134"/>
      </rPr>
      <t>中国报关协会监制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</si>
</sst>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_@"/>
    <numFmt numFmtId="177" formatCode="yyyy&quot;年&quot;m&quot;月&quot;d&quot;日&quot;;@"/>
    <numFmt numFmtId="178" formatCode="0.00_ "/>
    <numFmt numFmtId="179" formatCode="yyyy/m/d;@"/>
    <numFmt numFmtId="180" formatCode="0.00_);[Red]\(0.00\)"/>
    <numFmt numFmtId="181" formatCode="____@"/>
  </numFmts>
  <fonts count="97">
    <font>
      <sz val="11"/>
      <color rgb="FF000000"/>
      <name val="Arial"/>
      <charset val="204"/>
    </font>
    <font>
      <sz val="9"/>
      <name val="SimSun"/>
      <charset val="204"/>
    </font>
    <font>
      <sz val="11"/>
      <color rgb="FF000000"/>
      <name val="SimSun"/>
      <charset val="134"/>
    </font>
    <font>
      <sz val="10"/>
      <name val="SimSun"/>
      <charset val="134"/>
    </font>
    <font>
      <sz val="10"/>
      <color rgb="FF000000"/>
      <name val="Arial"/>
      <charset val="204"/>
    </font>
    <font>
      <sz val="11"/>
      <color rgb="FF000000"/>
      <name val="宋体"/>
      <charset val="204"/>
    </font>
    <font>
      <sz val="11"/>
      <name val="SimSun"/>
      <charset val="134"/>
    </font>
    <font>
      <sz val="9"/>
      <name val="SimSun"/>
      <charset val="134"/>
    </font>
    <font>
      <sz val="9"/>
      <color rgb="FF000000"/>
      <name val="Arial"/>
      <charset val="204"/>
    </font>
    <font>
      <sz val="9"/>
      <color rgb="FF000000"/>
      <name val="SimSun"/>
      <charset val="134"/>
    </font>
    <font>
      <b/>
      <sz val="23"/>
      <name val="SimSun"/>
      <charset val="204"/>
    </font>
    <font>
      <sz val="11"/>
      <name val="SimSun"/>
      <charset val="204"/>
    </font>
    <font>
      <sz val="11"/>
      <name val="Times New Roman"/>
      <charset val="204"/>
    </font>
    <font>
      <b/>
      <sz val="11"/>
      <color rgb="FFFF0000"/>
      <name val="微软雅黑"/>
      <charset val="204"/>
    </font>
    <font>
      <b/>
      <sz val="12"/>
      <color rgb="FFFF0000"/>
      <name val="微软雅黑"/>
      <charset val="134"/>
    </font>
    <font>
      <b/>
      <sz val="12"/>
      <color rgb="FFFF0000"/>
      <name val="微软雅黑"/>
      <charset val="204"/>
    </font>
    <font>
      <sz val="12"/>
      <color rgb="FF000000"/>
      <name val="Times New Roman"/>
      <charset val="134"/>
    </font>
    <font>
      <sz val="12"/>
      <name val="SimSun"/>
      <charset val="204"/>
    </font>
    <font>
      <sz val="12"/>
      <name val="Times New Roman"/>
      <charset val="204"/>
    </font>
    <font>
      <sz val="12"/>
      <name val="宋体"/>
      <charset val="204"/>
    </font>
    <font>
      <sz val="26"/>
      <color rgb="FF000000"/>
      <name val="Arial"/>
      <charset val="204"/>
    </font>
    <font>
      <sz val="26"/>
      <color rgb="FF000000"/>
      <name val="宋体"/>
      <charset val="204"/>
    </font>
    <font>
      <b/>
      <sz val="11"/>
      <color rgb="FFFF0000"/>
      <name val="Arial"/>
      <charset val="204"/>
    </font>
    <font>
      <sz val="11"/>
      <name val="Arial"/>
      <charset val="204"/>
    </font>
    <font>
      <sz val="12"/>
      <name val="Arial"/>
      <charset val="204"/>
    </font>
    <font>
      <sz val="11"/>
      <name val="宋体"/>
      <charset val="204"/>
    </font>
    <font>
      <sz val="11"/>
      <color rgb="FF000000"/>
      <name val="微软雅黑"/>
      <charset val="204"/>
    </font>
    <font>
      <b/>
      <sz val="17"/>
      <name val="微软雅黑"/>
      <charset val="134"/>
    </font>
    <font>
      <sz val="9"/>
      <name val="微软雅黑"/>
      <charset val="134"/>
    </font>
    <font>
      <sz val="9"/>
      <color rgb="FF000000"/>
      <name val="微软雅黑"/>
      <charset val="204"/>
    </font>
    <font>
      <sz val="9"/>
      <name val="微软雅黑"/>
      <charset val="204"/>
    </font>
    <font>
      <sz val="9"/>
      <color rgb="FFFF0000"/>
      <name val="微软雅黑"/>
      <charset val="204"/>
    </font>
    <font>
      <sz val="10"/>
      <name val="微软雅黑"/>
      <charset val="204"/>
    </font>
    <font>
      <sz val="10"/>
      <color rgb="FF000000"/>
      <name val="微软雅黑"/>
      <charset val="204"/>
    </font>
    <font>
      <sz val="10"/>
      <name val="微软雅黑"/>
      <charset val="134"/>
    </font>
    <font>
      <sz val="11"/>
      <name val="微软雅黑"/>
      <charset val="204"/>
    </font>
    <font>
      <sz val="12"/>
      <name val="微软雅黑"/>
      <charset val="204"/>
    </font>
    <font>
      <sz val="12"/>
      <color rgb="FF000000"/>
      <name val="微软雅黑"/>
      <charset val="204"/>
    </font>
    <font>
      <sz val="11"/>
      <color rgb="FFFF0000"/>
      <name val="微软雅黑"/>
      <charset val="134"/>
    </font>
    <font>
      <sz val="11"/>
      <name val="微软雅黑"/>
      <charset val="134"/>
    </font>
    <font>
      <b/>
      <sz val="9"/>
      <name val="微软雅黑"/>
      <charset val="134"/>
    </font>
    <font>
      <sz val="9"/>
      <color rgb="FF203764"/>
      <name val="微软雅黑"/>
      <charset val="134"/>
    </font>
    <font>
      <b/>
      <sz val="11"/>
      <name val="微软雅黑"/>
      <charset val="134"/>
    </font>
    <font>
      <b/>
      <sz val="11"/>
      <color rgb="FFFF0000"/>
      <name val="微软雅黑"/>
      <charset val="134"/>
    </font>
    <font>
      <b/>
      <sz val="11"/>
      <name val="微软雅黑"/>
      <charset val="204"/>
    </font>
    <font>
      <sz val="10"/>
      <color rgb="FF000000"/>
      <name val="微软雅黑"/>
      <charset val="134"/>
    </font>
    <font>
      <sz val="16"/>
      <name val="微软雅黑"/>
      <charset val="134"/>
    </font>
    <font>
      <sz val="9"/>
      <color rgb="FF000000"/>
      <name val="微软雅黑"/>
      <charset val="134"/>
    </font>
    <font>
      <b/>
      <sz val="10"/>
      <color rgb="FFFF0000"/>
      <name val="微软雅黑"/>
      <charset val="204"/>
    </font>
    <font>
      <b/>
      <sz val="10"/>
      <color rgb="FFFF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SimSun"/>
      <charset val="134"/>
    </font>
    <font>
      <b/>
      <sz val="12"/>
      <name val="SimSun"/>
      <charset val="134"/>
    </font>
    <font>
      <sz val="11"/>
      <color rgb="FF999999"/>
      <name val="Arial"/>
      <charset val="204"/>
    </font>
    <font>
      <u/>
      <sz val="9"/>
      <name val="SimSun"/>
      <charset val="134"/>
    </font>
    <font>
      <sz val="9"/>
      <name val="Times New Roman"/>
      <charset val="134"/>
    </font>
    <font>
      <sz val="12"/>
      <name val="Times New Roman"/>
      <charset val="134"/>
    </font>
    <font>
      <b/>
      <sz val="8"/>
      <name val="微软雅黑"/>
      <charset val="134"/>
    </font>
    <font>
      <sz val="9"/>
      <name val="Arial"/>
      <charset val="204"/>
    </font>
    <font>
      <sz val="11"/>
      <name val="Times New Roman"/>
      <charset val="134"/>
    </font>
    <font>
      <b/>
      <sz val="14"/>
      <name val="SimSun"/>
      <charset val="134"/>
    </font>
    <font>
      <sz val="14"/>
      <name val="SimSun"/>
      <charset val="134"/>
    </font>
    <font>
      <sz val="9"/>
      <color rgb="FFFF0000"/>
      <name val="微软雅黑"/>
      <charset val="134"/>
    </font>
    <font>
      <b/>
      <u/>
      <sz val="21"/>
      <name val="SimSun"/>
      <charset val="134"/>
    </font>
    <font>
      <u/>
      <sz val="21"/>
      <name val="SimSun"/>
      <charset val="134"/>
    </font>
    <font>
      <u/>
      <sz val="19"/>
      <name val="Times New Roman"/>
      <charset val="134"/>
    </font>
    <font>
      <sz val="21"/>
      <name val="SimSun"/>
      <charset val="134"/>
    </font>
    <font>
      <b/>
      <sz val="21"/>
      <name val="SimSun"/>
      <charset val="134"/>
    </font>
    <font>
      <sz val="9"/>
      <color rgb="FF767676"/>
      <name val="Arial"/>
      <charset val="134"/>
    </font>
    <font>
      <sz val="9"/>
      <name val="Times New Roman"/>
      <charset val="204"/>
    </font>
    <font>
      <b/>
      <sz val="12"/>
      <name val="SimSun"/>
      <charset val="204"/>
    </font>
    <font>
      <b/>
      <sz val="12"/>
      <name val="Arial"/>
      <charset val="204"/>
    </font>
    <font>
      <b/>
      <sz val="9"/>
      <name val="Times New Roman"/>
      <charset val="204"/>
    </font>
    <font>
      <sz val="23"/>
      <name val="SimSun"/>
      <charset val="204"/>
    </font>
    <font>
      <b/>
      <sz val="9"/>
      <name val="微软雅黑"/>
      <charset val="204"/>
    </font>
    <font>
      <b/>
      <sz val="23"/>
      <name val="SimSun"/>
      <charset val="134"/>
    </font>
    <font>
      <b/>
      <sz val="9"/>
      <name val="SimSun"/>
      <charset val="134"/>
    </font>
    <font>
      <u/>
      <sz val="12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0" fillId="0" borderId="0" applyFont="0" applyFill="0" applyBorder="0" applyAlignment="0" applyProtection="0">
      <alignment vertical="center"/>
    </xf>
    <xf numFmtId="44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0" fillId="3" borderId="40" applyNumberFormat="0" applyFon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41" applyNumberFormat="0" applyFill="0" applyAlignment="0" applyProtection="0">
      <alignment vertical="center"/>
    </xf>
    <xf numFmtId="0" fontId="57" fillId="0" borderId="41" applyNumberFormat="0" applyFill="0" applyAlignment="0" applyProtection="0">
      <alignment vertical="center"/>
    </xf>
    <xf numFmtId="0" fontId="58" fillId="0" borderId="42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4" borderId="43" applyNumberFormat="0" applyAlignment="0" applyProtection="0">
      <alignment vertical="center"/>
    </xf>
    <xf numFmtId="0" fontId="60" fillId="5" borderId="44" applyNumberFormat="0" applyAlignment="0" applyProtection="0">
      <alignment vertical="center"/>
    </xf>
    <xf numFmtId="0" fontId="61" fillId="5" borderId="43" applyNumberFormat="0" applyAlignment="0" applyProtection="0">
      <alignment vertical="center"/>
    </xf>
    <xf numFmtId="0" fontId="62" fillId="6" borderId="45" applyNumberFormat="0" applyAlignment="0" applyProtection="0">
      <alignment vertical="center"/>
    </xf>
    <xf numFmtId="0" fontId="63" fillId="0" borderId="46" applyNumberFormat="0" applyFill="0" applyAlignment="0" applyProtection="0">
      <alignment vertical="center"/>
    </xf>
    <xf numFmtId="0" fontId="64" fillId="0" borderId="47" applyNumberFormat="0" applyFill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7" fillId="9" borderId="0" applyNumberFormat="0" applyBorder="0" applyAlignment="0" applyProtection="0">
      <alignment vertical="center"/>
    </xf>
    <xf numFmtId="0" fontId="68" fillId="10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8" fillId="29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33" borderId="0" applyNumberFormat="0" applyBorder="0" applyAlignment="0" applyProtection="0">
      <alignment vertical="center"/>
    </xf>
  </cellStyleXfs>
  <cellXfs count="287">
    <xf numFmtId="49" fontId="0" fillId="0" borderId="0" xfId="0" applyNumberFormat="1" applyFill="1" applyBorder="1" applyAlignment="1">
      <alignment horizontal="left" vertical="top" wrapText="1"/>
    </xf>
    <xf numFmtId="0" fontId="0" fillId="0" borderId="0" xfId="0" applyFill="1" applyAlignment="1">
      <alignment horizontal="center" vertical="top" wrapText="1"/>
    </xf>
    <xf numFmtId="49" fontId="0" fillId="0" borderId="0" xfId="0" applyNumberFormat="1" applyFill="1" applyBorder="1" applyAlignment="1">
      <alignment horizontal="center" vertical="top" wrapText="1"/>
    </xf>
    <xf numFmtId="0" fontId="0" fillId="0" borderId="0" xfId="0" applyFill="1" applyBorder="1" applyAlignment="1">
      <alignment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center" wrapText="1"/>
    </xf>
    <xf numFmtId="0" fontId="0" fillId="0" borderId="0" xfId="0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vertical="top" wrapText="1"/>
    </xf>
    <xf numFmtId="176" fontId="2" fillId="0" borderId="1" xfId="0" applyNumberFormat="1" applyFont="1" applyFill="1" applyBorder="1" applyAlignment="1">
      <alignment horizontal="left" wrapText="1"/>
    </xf>
    <xf numFmtId="0" fontId="0" fillId="0" borderId="0" xfId="0" applyFill="1" applyAlignment="1">
      <alignment vertical="top" wrapText="1"/>
    </xf>
    <xf numFmtId="177" fontId="0" fillId="0" borderId="1" xfId="0" applyNumberFormat="1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center" wrapText="1"/>
    </xf>
    <xf numFmtId="49" fontId="0" fillId="0" borderId="1" xfId="0" applyNumberForma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5" fillId="0" borderId="1" xfId="0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center" wrapText="1"/>
    </xf>
    <xf numFmtId="177" fontId="0" fillId="0" borderId="1" xfId="0" applyNumberFormat="1" applyFill="1" applyBorder="1" applyAlignment="1">
      <alignment horizont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178" fontId="0" fillId="0" borderId="2" xfId="0" applyNumberFormat="1" applyFill="1" applyBorder="1" applyAlignment="1">
      <alignment horizontal="center" vertical="center" wrapText="1"/>
    </xf>
    <xf numFmtId="178" fontId="0" fillId="0" borderId="4" xfId="0" applyNumberFormat="1" applyFill="1" applyBorder="1" applyAlignment="1">
      <alignment horizontal="center" vertical="center" wrapText="1"/>
    </xf>
    <xf numFmtId="178" fontId="0" fillId="0" borderId="3" xfId="0" applyNumberFormat="1" applyFill="1" applyBorder="1" applyAlignment="1">
      <alignment horizontal="center" vertical="center" wrapText="1"/>
    </xf>
    <xf numFmtId="177" fontId="0" fillId="0" borderId="1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 indent="1"/>
    </xf>
    <xf numFmtId="0" fontId="7" fillId="0" borderId="1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right" vertical="center" wrapText="1" indent="3"/>
    </xf>
    <xf numFmtId="0" fontId="0" fillId="0" borderId="1" xfId="0" applyFill="1" applyBorder="1" applyAlignment="1">
      <alignment horizontal="right" vertical="center" wrapText="1"/>
    </xf>
    <xf numFmtId="177" fontId="0" fillId="0" borderId="1" xfId="0" applyNumberFormat="1" applyFill="1" applyBorder="1" applyAlignment="1">
      <alignment horizontal="right" vertical="center" wrapText="1" indent="3"/>
    </xf>
    <xf numFmtId="177" fontId="0" fillId="0" borderId="1" xfId="0" applyNumberFormat="1" applyFill="1" applyBorder="1" applyAlignment="1">
      <alignment horizontal="right" vertical="center" wrapText="1"/>
    </xf>
    <xf numFmtId="176" fontId="9" fillId="0" borderId="1" xfId="0" applyNumberFormat="1" applyFont="1" applyFill="1" applyBorder="1" applyAlignment="1">
      <alignment horizontal="left" vertical="top" wrapText="1" indent="8"/>
    </xf>
    <xf numFmtId="0" fontId="10" fillId="0" borderId="1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11" fillId="0" borderId="0" xfId="0" applyFont="1" applyFill="1" applyBorder="1" applyAlignment="1">
      <alignment vertical="center" wrapText="1"/>
    </xf>
    <xf numFmtId="0" fontId="0" fillId="0" borderId="1" xfId="0" applyFill="1" applyBorder="1" applyAlignment="1">
      <alignment horizontal="left" vertical="center" wrapText="1" indent="7"/>
    </xf>
    <xf numFmtId="0" fontId="12" fillId="0" borderId="2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left" wrapText="1" indent="2"/>
    </xf>
    <xf numFmtId="0" fontId="11" fillId="0" borderId="1" xfId="0" applyFont="1" applyFill="1" applyBorder="1" applyAlignment="1">
      <alignment horizontal="left" wrapText="1"/>
    </xf>
    <xf numFmtId="0" fontId="11" fillId="0" borderId="0" xfId="0" applyFont="1" applyFill="1" applyBorder="1" applyAlignment="1">
      <alignment wrapText="1"/>
    </xf>
    <xf numFmtId="0" fontId="11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179" fontId="0" fillId="0" borderId="2" xfId="0" applyNumberFormat="1" applyFill="1" applyBorder="1" applyAlignment="1">
      <alignment horizontal="center" vertical="center" wrapText="1"/>
    </xf>
    <xf numFmtId="179" fontId="0" fillId="0" borderId="4" xfId="0" applyNumberFormat="1" applyFill="1" applyBorder="1" applyAlignment="1">
      <alignment horizontal="center" vertical="center" wrapText="1"/>
    </xf>
    <xf numFmtId="179" fontId="0" fillId="0" borderId="3" xfId="0" applyNumberForma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top" wrapText="1" indent="7"/>
    </xf>
    <xf numFmtId="0" fontId="0" fillId="0" borderId="0" xfId="0" applyFill="1" applyBorder="1" applyAlignment="1">
      <alignment wrapText="1"/>
    </xf>
    <xf numFmtId="0" fontId="12" fillId="0" borderId="1" xfId="0" applyFont="1" applyFill="1" applyBorder="1" applyAlignment="1">
      <alignment horizontal="center" wrapText="1"/>
    </xf>
    <xf numFmtId="0" fontId="0" fillId="0" borderId="0" xfId="0" applyFill="1" applyBorder="1" applyAlignment="1">
      <alignment horizontal="left" vertical="top" wrapText="1"/>
    </xf>
    <xf numFmtId="0" fontId="13" fillId="0" borderId="1" xfId="0" applyFont="1" applyFill="1" applyBorder="1" applyAlignment="1">
      <alignment horizontal="center" vertical="center" wrapText="1"/>
    </xf>
    <xf numFmtId="1" fontId="14" fillId="0" borderId="1" xfId="0" applyNumberFormat="1" applyFont="1" applyFill="1" applyBorder="1" applyAlignment="1">
      <alignment horizontal="center" vertical="center" wrapText="1"/>
    </xf>
    <xf numFmtId="2" fontId="14" fillId="0" borderId="1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left" vertical="center" wrapText="1" indent="1"/>
    </xf>
    <xf numFmtId="0" fontId="13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wrapText="1"/>
    </xf>
    <xf numFmtId="1" fontId="16" fillId="0" borderId="1" xfId="0" applyNumberFormat="1" applyFont="1" applyFill="1" applyBorder="1" applyAlignment="1">
      <alignment horizontal="center" vertical="center" wrapText="1"/>
    </xf>
    <xf numFmtId="2" fontId="16" fillId="0" borderId="1" xfId="0" applyNumberFormat="1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left" wrapText="1" indent="1"/>
    </xf>
    <xf numFmtId="0" fontId="1" fillId="0" borderId="1" xfId="0" applyFont="1" applyFill="1" applyBorder="1" applyAlignment="1">
      <alignment horizontal="center" wrapText="1"/>
    </xf>
    <xf numFmtId="0" fontId="5" fillId="0" borderId="1" xfId="0" applyFont="1" applyFill="1" applyBorder="1" applyAlignment="1">
      <alignment horizontal="left" vertical="center" wrapText="1" indent="1"/>
    </xf>
    <xf numFmtId="0" fontId="17" fillId="0" borderId="2" xfId="0" applyFont="1" applyFill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left" vertical="center" wrapText="1"/>
    </xf>
    <xf numFmtId="0" fontId="17" fillId="0" borderId="4" xfId="0" applyFont="1" applyFill="1" applyBorder="1" applyAlignment="1">
      <alignment horizontal="left" vertical="center" wrapText="1"/>
    </xf>
    <xf numFmtId="0" fontId="17" fillId="0" borderId="3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vertical="center" wrapText="1"/>
    </xf>
    <xf numFmtId="0" fontId="18" fillId="0" borderId="2" xfId="0" applyFont="1" applyFill="1" applyBorder="1" applyAlignment="1">
      <alignment horizontal="center" wrapText="1"/>
    </xf>
    <xf numFmtId="0" fontId="18" fillId="0" borderId="4" xfId="0" applyFont="1" applyFill="1" applyBorder="1" applyAlignment="1">
      <alignment horizontal="center" wrapText="1"/>
    </xf>
    <xf numFmtId="0" fontId="18" fillId="0" borderId="3" xfId="0" applyFont="1" applyFill="1" applyBorder="1" applyAlignment="1">
      <alignment horizontal="center" wrapText="1"/>
    </xf>
    <xf numFmtId="31" fontId="18" fillId="0" borderId="2" xfId="0" applyNumberFormat="1" applyFont="1" applyFill="1" applyBorder="1" applyAlignment="1">
      <alignment horizontal="center" wrapText="1"/>
    </xf>
    <xf numFmtId="0" fontId="19" fillId="0" borderId="2" xfId="0" applyFont="1" applyFill="1" applyBorder="1" applyAlignment="1">
      <alignment horizontal="left" wrapText="1"/>
    </xf>
    <xf numFmtId="0" fontId="19" fillId="0" borderId="4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18" fillId="0" borderId="2" xfId="0" applyFont="1" applyFill="1" applyBorder="1" applyAlignment="1">
      <alignment horizontal="center" vertical="top" wrapText="1"/>
    </xf>
    <xf numFmtId="0" fontId="18" fillId="0" borderId="4" xfId="0" applyFont="1" applyFill="1" applyBorder="1" applyAlignment="1">
      <alignment horizontal="center" vertical="top" wrapText="1"/>
    </xf>
    <xf numFmtId="0" fontId="18" fillId="0" borderId="3" xfId="0" applyFont="1" applyFill="1" applyBorder="1" applyAlignment="1">
      <alignment horizontal="center" vertical="top" wrapText="1"/>
    </xf>
    <xf numFmtId="0" fontId="19" fillId="0" borderId="2" xfId="0" applyFont="1" applyFill="1" applyBorder="1" applyAlignment="1">
      <alignment horizontal="center" vertical="top" wrapText="1"/>
    </xf>
    <xf numFmtId="0" fontId="18" fillId="0" borderId="2" xfId="0" applyFont="1" applyFill="1" applyBorder="1" applyAlignment="1">
      <alignment horizontal="left" vertical="top" wrapText="1"/>
    </xf>
    <xf numFmtId="0" fontId="18" fillId="0" borderId="4" xfId="0" applyFont="1" applyFill="1" applyBorder="1" applyAlignment="1">
      <alignment horizontal="left" vertical="top" wrapText="1"/>
    </xf>
    <xf numFmtId="0" fontId="18" fillId="0" borderId="3" xfId="0" applyFont="1" applyFill="1" applyBorder="1" applyAlignment="1">
      <alignment horizontal="left" vertical="top" wrapText="1"/>
    </xf>
    <xf numFmtId="0" fontId="18" fillId="0" borderId="0" xfId="0" applyFont="1" applyFill="1" applyBorder="1" applyAlignment="1">
      <alignment vertical="top" wrapText="1"/>
    </xf>
    <xf numFmtId="0" fontId="18" fillId="0" borderId="1" xfId="0" applyFont="1" applyFill="1" applyBorder="1" applyAlignment="1">
      <alignment horizontal="left" vertical="center" wrapText="1"/>
    </xf>
    <xf numFmtId="0" fontId="18" fillId="0" borderId="0" xfId="0" applyFont="1" applyFill="1" applyBorder="1" applyAlignment="1">
      <alignment vertical="center" wrapText="1"/>
    </xf>
    <xf numFmtId="0" fontId="0" fillId="0" borderId="1" xfId="0" applyFill="1" applyBorder="1" applyAlignment="1">
      <alignment horizontal="left" vertical="top" wrapText="1" indent="1"/>
    </xf>
    <xf numFmtId="0" fontId="18" fillId="0" borderId="1" xfId="0" applyFont="1" applyFill="1" applyBorder="1" applyAlignment="1">
      <alignment horizontal="left" wrapText="1"/>
    </xf>
    <xf numFmtId="0" fontId="18" fillId="0" borderId="1" xfId="0" applyFont="1" applyFill="1" applyBorder="1" applyAlignment="1">
      <alignment horizontal="left"/>
    </xf>
    <xf numFmtId="0" fontId="0" fillId="0" borderId="0" xfId="0" applyFill="1" applyBorder="1" applyAlignment="1">
      <alignment horizontal="left" wrapText="1"/>
    </xf>
    <xf numFmtId="0" fontId="0" fillId="0" borderId="0" xfId="0" applyFill="1" applyBorder="1" applyAlignment="1">
      <alignment horizontal="left" wrapText="1" indent="2"/>
    </xf>
    <xf numFmtId="14" fontId="0" fillId="0" borderId="0" xfId="0" applyNumberForma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/>
    </xf>
    <xf numFmtId="0" fontId="17" fillId="2" borderId="0" xfId="0" applyFont="1" applyFill="1" applyBorder="1" applyAlignment="1">
      <alignment horizontal="left" vertical="center" wrapText="1"/>
    </xf>
    <xf numFmtId="0" fontId="0" fillId="2" borderId="0" xfId="0" applyFill="1" applyBorder="1" applyAlignment="1">
      <alignment horizontal="left" vertical="top" wrapText="1"/>
    </xf>
    <xf numFmtId="0" fontId="17" fillId="0" borderId="5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0" fontId="17" fillId="0" borderId="7" xfId="0" applyFont="1" applyFill="1" applyBorder="1" applyAlignment="1">
      <alignment horizontal="center" vertical="center" wrapText="1"/>
    </xf>
    <xf numFmtId="0" fontId="17" fillId="0" borderId="8" xfId="0" applyFont="1" applyFill="1" applyBorder="1" applyAlignment="1">
      <alignment horizontal="center" vertical="center" wrapText="1"/>
    </xf>
    <xf numFmtId="0" fontId="17" fillId="0" borderId="9" xfId="0" applyFont="1" applyFill="1" applyBorder="1" applyAlignment="1">
      <alignment horizontal="center" vertical="center" wrapText="1"/>
    </xf>
    <xf numFmtId="0" fontId="17" fillId="0" borderId="0" xfId="0" applyFont="1" applyFill="1" applyAlignment="1">
      <alignment horizontal="center" vertical="center" wrapText="1"/>
    </xf>
    <xf numFmtId="0" fontId="17" fillId="0" borderId="10" xfId="0" applyFont="1" applyFill="1" applyBorder="1" applyAlignment="1">
      <alignment horizontal="center" vertical="center" wrapText="1"/>
    </xf>
    <xf numFmtId="0" fontId="17" fillId="0" borderId="11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left" vertical="top" wrapText="1"/>
    </xf>
    <xf numFmtId="0" fontId="17" fillId="0" borderId="13" xfId="0" applyFont="1" applyFill="1" applyBorder="1" applyAlignment="1">
      <alignment horizontal="center" vertical="center" wrapText="1"/>
    </xf>
    <xf numFmtId="0" fontId="17" fillId="0" borderId="14" xfId="0" applyFont="1" applyFill="1" applyBorder="1" applyAlignment="1">
      <alignment horizontal="center" vertical="center" wrapText="1"/>
    </xf>
    <xf numFmtId="0" fontId="17" fillId="0" borderId="15" xfId="0" applyFont="1" applyFill="1" applyBorder="1" applyAlignment="1">
      <alignment horizontal="center" vertical="center" wrapText="1"/>
    </xf>
    <xf numFmtId="0" fontId="17" fillId="0" borderId="16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vertical="top" wrapText="1"/>
    </xf>
    <xf numFmtId="0" fontId="0" fillId="0" borderId="17" xfId="0" applyFill="1" applyBorder="1" applyAlignment="1">
      <alignment horizontal="center" wrapText="1"/>
    </xf>
    <xf numFmtId="0" fontId="0" fillId="0" borderId="17" xfId="0" applyFill="1" applyBorder="1" applyAlignment="1">
      <alignment horizontal="center" vertical="center" wrapText="1"/>
    </xf>
    <xf numFmtId="0" fontId="15" fillId="0" borderId="18" xfId="0" applyFont="1" applyFill="1" applyBorder="1" applyAlignment="1">
      <alignment horizontal="center" vertical="center" wrapText="1"/>
    </xf>
    <xf numFmtId="0" fontId="15" fillId="0" borderId="19" xfId="0" applyFont="1" applyFill="1" applyBorder="1" applyAlignment="1">
      <alignment horizontal="center" vertical="center" wrapText="1"/>
    </xf>
    <xf numFmtId="0" fontId="15" fillId="0" borderId="20" xfId="0" applyFont="1" applyFill="1" applyBorder="1" applyAlignment="1">
      <alignment horizontal="center" vertical="center" wrapText="1"/>
    </xf>
    <xf numFmtId="0" fontId="15" fillId="0" borderId="18" xfId="0" applyNumberFormat="1" applyFont="1" applyFill="1" applyBorder="1" applyAlignment="1">
      <alignment horizontal="center" vertical="center" wrapText="1"/>
    </xf>
    <xf numFmtId="0" fontId="15" fillId="0" borderId="17" xfId="0" applyFont="1" applyFill="1" applyBorder="1" applyAlignment="1">
      <alignment vertical="center" wrapText="1"/>
    </xf>
    <xf numFmtId="0" fontId="0" fillId="0" borderId="17" xfId="0" applyFill="1" applyBorder="1" applyAlignment="1">
      <alignment horizontal="left" vertical="center" wrapText="1"/>
    </xf>
    <xf numFmtId="0" fontId="0" fillId="0" borderId="17" xfId="0" applyFill="1" applyBorder="1" applyAlignment="1">
      <alignment horizontal="left" vertical="top" wrapText="1"/>
    </xf>
    <xf numFmtId="1" fontId="14" fillId="0" borderId="17" xfId="0" applyNumberFormat="1" applyFont="1" applyFill="1" applyBorder="1" applyAlignment="1">
      <alignment horizontal="center" vertical="center" wrapText="1"/>
    </xf>
    <xf numFmtId="0" fontId="13" fillId="0" borderId="17" xfId="0" applyFont="1" applyFill="1" applyBorder="1" applyAlignment="1">
      <alignment horizontal="center" vertical="center" wrapText="1"/>
    </xf>
    <xf numFmtId="0" fontId="13" fillId="0" borderId="18" xfId="0" applyFont="1" applyFill="1" applyBorder="1" applyAlignment="1">
      <alignment horizontal="center" vertical="center" wrapText="1"/>
    </xf>
    <xf numFmtId="0" fontId="13" fillId="0" borderId="20" xfId="0" applyFont="1" applyFill="1" applyBorder="1" applyAlignment="1">
      <alignment horizontal="center" vertical="center" wrapText="1"/>
    </xf>
    <xf numFmtId="0" fontId="13" fillId="0" borderId="17" xfId="0" applyFont="1" applyFill="1" applyBorder="1" applyAlignment="1">
      <alignment vertical="top" wrapText="1"/>
    </xf>
    <xf numFmtId="180" fontId="14" fillId="0" borderId="17" xfId="0" applyNumberFormat="1" applyFont="1" applyFill="1" applyBorder="1" applyAlignment="1">
      <alignment horizontal="center" vertical="center" wrapText="1"/>
    </xf>
    <xf numFmtId="180" fontId="13" fillId="0" borderId="17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 wrapText="1" indent="1"/>
    </xf>
    <xf numFmtId="0" fontId="0" fillId="0" borderId="0" xfId="0" applyFill="1" applyBorder="1" applyAlignment="1">
      <alignment horizontal="left" wrapText="1" indent="1"/>
    </xf>
    <xf numFmtId="49" fontId="20" fillId="0" borderId="0" xfId="0" applyNumberFormat="1" applyFont="1" applyFill="1" applyBorder="1" applyAlignment="1">
      <alignment horizontal="left" vertical="top" wrapText="1"/>
    </xf>
    <xf numFmtId="0" fontId="21" fillId="0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49" fontId="20" fillId="0" borderId="1" xfId="0" applyNumberFormat="1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17" fillId="0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79" fontId="22" fillId="0" borderId="1" xfId="0" applyNumberFormat="1" applyFont="1" applyFill="1" applyBorder="1" applyAlignment="1">
      <alignment horizontal="left" wrapText="1"/>
    </xf>
    <xf numFmtId="49" fontId="0" fillId="0" borderId="1" xfId="0" applyNumberForma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wrapText="1" inden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1" xfId="0" applyNumberFormat="1" applyFont="1" applyFill="1" applyBorder="1" applyAlignment="1">
      <alignment horizontal="center" vertical="center" wrapText="1"/>
    </xf>
    <xf numFmtId="178" fontId="15" fillId="0" borderId="2" xfId="0" applyNumberFormat="1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 wrapText="1"/>
    </xf>
    <xf numFmtId="0" fontId="24" fillId="0" borderId="1" xfId="0" applyNumberFormat="1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 wrapText="1"/>
    </xf>
    <xf numFmtId="178" fontId="5" fillId="0" borderId="2" xfId="0" applyNumberFormat="1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vertical="center" wrapText="1"/>
    </xf>
    <xf numFmtId="178" fontId="17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horizontal="center" wrapText="1"/>
    </xf>
    <xf numFmtId="0" fontId="0" fillId="0" borderId="4" xfId="0" applyFill="1" applyBorder="1" applyAlignment="1">
      <alignment horizontal="center" wrapText="1"/>
    </xf>
    <xf numFmtId="0" fontId="0" fillId="0" borderId="3" xfId="0" applyFill="1" applyBorder="1" applyAlignment="1">
      <alignment horizontal="center" wrapText="1"/>
    </xf>
    <xf numFmtId="49" fontId="0" fillId="0" borderId="2" xfId="0" applyNumberFormat="1" applyFill="1" applyBorder="1" applyAlignment="1">
      <alignment horizontal="center" vertical="top" wrapText="1"/>
    </xf>
    <xf numFmtId="49" fontId="0" fillId="0" borderId="4" xfId="0" applyNumberFormat="1" applyFill="1" applyBorder="1" applyAlignment="1">
      <alignment horizontal="center" vertical="top" wrapText="1"/>
    </xf>
    <xf numFmtId="49" fontId="0" fillId="0" borderId="3" xfId="0" applyNumberFormat="1" applyFill="1" applyBorder="1" applyAlignment="1">
      <alignment horizontal="center" vertical="top" wrapText="1"/>
    </xf>
    <xf numFmtId="49" fontId="26" fillId="0" borderId="0" xfId="0" applyNumberFormat="1" applyFont="1" applyFill="1" applyBorder="1" applyAlignment="1">
      <alignment horizontal="left" vertical="top" wrapText="1"/>
    </xf>
    <xf numFmtId="49" fontId="26" fillId="0" borderId="0" xfId="0" applyNumberFormat="1" applyFont="1" applyFill="1" applyBorder="1" applyAlignment="1">
      <alignment horizontal="center" vertical="top" wrapText="1"/>
    </xf>
    <xf numFmtId="0" fontId="27" fillId="0" borderId="0" xfId="0" applyFont="1" applyFill="1" applyBorder="1" applyAlignment="1">
      <alignment horizontal="center" vertical="center" wrapText="1"/>
    </xf>
    <xf numFmtId="0" fontId="26" fillId="0" borderId="0" xfId="0" applyFont="1" applyFill="1" applyBorder="1" applyAlignment="1">
      <alignment horizontal="center" vertical="center" wrapText="1"/>
    </xf>
    <xf numFmtId="0" fontId="26" fillId="0" borderId="0" xfId="0" applyFont="1" applyFill="1" applyBorder="1" applyAlignment="1">
      <alignment horizontal="left" vertical="top" wrapText="1"/>
    </xf>
    <xf numFmtId="0" fontId="26" fillId="0" borderId="0" xfId="0" applyFont="1" applyFill="1" applyBorder="1" applyAlignment="1">
      <alignment horizontal="center" vertical="top" wrapText="1"/>
    </xf>
    <xf numFmtId="0" fontId="28" fillId="0" borderId="0" xfId="0" applyFont="1" applyFill="1" applyBorder="1" applyAlignment="1">
      <alignment horizontal="right" wrapText="1"/>
    </xf>
    <xf numFmtId="0" fontId="29" fillId="0" borderId="0" xfId="0" applyFont="1" applyFill="1" applyBorder="1" applyAlignment="1">
      <alignment horizontal="right" wrapText="1"/>
    </xf>
    <xf numFmtId="0" fontId="29" fillId="0" borderId="0" xfId="0" applyFont="1" applyFill="1" applyBorder="1" applyAlignment="1">
      <alignment horizontal="left" vertical="top" wrapText="1"/>
    </xf>
    <xf numFmtId="0" fontId="29" fillId="0" borderId="0" xfId="0" applyFont="1" applyFill="1" applyBorder="1" applyAlignment="1">
      <alignment horizontal="center" wrapText="1"/>
    </xf>
    <xf numFmtId="0" fontId="28" fillId="0" borderId="0" xfId="0" applyFont="1" applyFill="1" applyBorder="1" applyAlignment="1">
      <alignment horizontal="left" vertical="center" wrapText="1"/>
    </xf>
    <xf numFmtId="0" fontId="29" fillId="0" borderId="0" xfId="0" applyFont="1" applyFill="1" applyBorder="1" applyAlignment="1">
      <alignment horizontal="left" vertical="center" wrapText="1"/>
    </xf>
    <xf numFmtId="0" fontId="30" fillId="0" borderId="21" xfId="0" applyFont="1" applyFill="1" applyBorder="1" applyAlignment="1">
      <alignment horizontal="left" vertical="top" wrapText="1"/>
    </xf>
    <xf numFmtId="0" fontId="31" fillId="0" borderId="22" xfId="0" applyFont="1" applyFill="1" applyBorder="1" applyAlignment="1">
      <alignment horizontal="left" vertical="top" wrapText="1"/>
    </xf>
    <xf numFmtId="0" fontId="29" fillId="0" borderId="22" xfId="0" applyFont="1" applyFill="1" applyBorder="1" applyAlignment="1">
      <alignment horizontal="left" vertical="top" wrapText="1"/>
    </xf>
    <xf numFmtId="0" fontId="29" fillId="0" borderId="22" xfId="0" applyFont="1" applyFill="1" applyBorder="1" applyAlignment="1">
      <alignment horizontal="center" vertical="top" wrapText="1"/>
    </xf>
    <xf numFmtId="0" fontId="30" fillId="0" borderId="22" xfId="0" applyFont="1" applyFill="1" applyBorder="1" applyAlignment="1">
      <alignment horizontal="left" vertical="top" wrapText="1"/>
    </xf>
    <xf numFmtId="0" fontId="28" fillId="0" borderId="23" xfId="0" applyFont="1" applyFill="1" applyBorder="1" applyAlignment="1">
      <alignment horizontal="left" vertical="top" wrapText="1"/>
    </xf>
    <xf numFmtId="0" fontId="29" fillId="0" borderId="23" xfId="0" applyFont="1" applyFill="1" applyBorder="1" applyAlignment="1">
      <alignment horizontal="left" vertical="top" wrapText="1"/>
    </xf>
    <xf numFmtId="0" fontId="30" fillId="2" borderId="24" xfId="0" applyFont="1" applyFill="1" applyBorder="1" applyAlignment="1">
      <alignment horizontal="left" vertical="top" wrapText="1"/>
    </xf>
    <xf numFmtId="0" fontId="30" fillId="2" borderId="14" xfId="0" applyFont="1" applyFill="1" applyBorder="1" applyAlignment="1">
      <alignment horizontal="left" vertical="top" wrapText="1"/>
    </xf>
    <xf numFmtId="0" fontId="30" fillId="2" borderId="25" xfId="0" applyFont="1" applyFill="1" applyBorder="1" applyAlignment="1">
      <alignment horizontal="left" vertical="top" wrapText="1"/>
    </xf>
    <xf numFmtId="0" fontId="26" fillId="0" borderId="26" xfId="0" applyFont="1" applyFill="1" applyBorder="1" applyAlignment="1">
      <alignment horizontal="center" vertical="top" wrapText="1"/>
    </xf>
    <xf numFmtId="0" fontId="26" fillId="0" borderId="14" xfId="0" applyFont="1" applyFill="1" applyBorder="1" applyAlignment="1">
      <alignment horizontal="center" vertical="top" wrapText="1"/>
    </xf>
    <xf numFmtId="0" fontId="26" fillId="0" borderId="25" xfId="0" applyFont="1" applyFill="1" applyBorder="1" applyAlignment="1">
      <alignment horizontal="center" vertical="top" wrapText="1"/>
    </xf>
    <xf numFmtId="179" fontId="26" fillId="0" borderId="26" xfId="0" applyNumberFormat="1" applyFont="1" applyFill="1" applyBorder="1" applyAlignment="1">
      <alignment horizontal="left" vertical="top" wrapText="1"/>
    </xf>
    <xf numFmtId="179" fontId="26" fillId="0" borderId="14" xfId="0" applyNumberFormat="1" applyFont="1" applyFill="1" applyBorder="1" applyAlignment="1">
      <alignment horizontal="left" vertical="top" wrapText="1"/>
    </xf>
    <xf numFmtId="179" fontId="26" fillId="0" borderId="25" xfId="0" applyNumberFormat="1" applyFont="1" applyFill="1" applyBorder="1" applyAlignment="1">
      <alignment horizontal="left" vertical="top" wrapText="1"/>
    </xf>
    <xf numFmtId="14" fontId="13" fillId="0" borderId="26" xfId="0" applyNumberFormat="1" applyFont="1" applyFill="1" applyBorder="1" applyAlignment="1">
      <alignment horizontal="left" vertical="top" wrapText="1"/>
    </xf>
    <xf numFmtId="0" fontId="13" fillId="0" borderId="14" xfId="0" applyFont="1" applyFill="1" applyBorder="1" applyAlignment="1">
      <alignment horizontal="left" vertical="top" wrapText="1"/>
    </xf>
    <xf numFmtId="0" fontId="13" fillId="0" borderId="25" xfId="0" applyFont="1" applyFill="1" applyBorder="1" applyAlignment="1">
      <alignment horizontal="left" vertical="top" wrapText="1"/>
    </xf>
    <xf numFmtId="0" fontId="26" fillId="0" borderId="27" xfId="0" applyFont="1" applyFill="1" applyBorder="1" applyAlignment="1">
      <alignment horizontal="center" vertical="top" wrapText="1"/>
    </xf>
    <xf numFmtId="0" fontId="31" fillId="0" borderId="28" xfId="0" applyFont="1" applyFill="1" applyBorder="1" applyAlignment="1">
      <alignment horizontal="left" vertical="top" wrapText="1"/>
    </xf>
    <xf numFmtId="0" fontId="29" fillId="0" borderId="28" xfId="0" applyFont="1" applyFill="1" applyBorder="1" applyAlignment="1">
      <alignment horizontal="left" vertical="top" wrapText="1"/>
    </xf>
    <xf numFmtId="0" fontId="32" fillId="0" borderId="17" xfId="0" applyFont="1" applyFill="1" applyBorder="1" applyAlignment="1">
      <alignment horizontal="left" vertical="top" wrapText="1"/>
    </xf>
    <xf numFmtId="0" fontId="33" fillId="0" borderId="17" xfId="0" applyFont="1" applyFill="1" applyBorder="1" applyAlignment="1">
      <alignment horizontal="left" vertical="top" wrapText="1"/>
    </xf>
    <xf numFmtId="0" fontId="33" fillId="0" borderId="17" xfId="0" applyFont="1" applyFill="1" applyBorder="1" applyAlignment="1">
      <alignment horizontal="center" vertical="top" wrapText="1"/>
    </xf>
    <xf numFmtId="0" fontId="34" fillId="0" borderId="17" xfId="0" applyFont="1" applyFill="1" applyBorder="1" applyAlignment="1">
      <alignment horizontal="left" vertical="top" wrapText="1"/>
    </xf>
    <xf numFmtId="0" fontId="26" fillId="0" borderId="29" xfId="0" applyFont="1" applyFill="1" applyBorder="1" applyAlignment="1">
      <alignment horizontal="left" vertical="top" wrapText="1"/>
    </xf>
    <xf numFmtId="0" fontId="28" fillId="0" borderId="17" xfId="0" applyFont="1" applyFill="1" applyBorder="1" applyAlignment="1">
      <alignment horizontal="left" vertical="top" wrapText="1"/>
    </xf>
    <xf numFmtId="0" fontId="29" fillId="0" borderId="17" xfId="0" applyFont="1" applyFill="1" applyBorder="1" applyAlignment="1">
      <alignment horizontal="left" vertical="top" wrapText="1"/>
    </xf>
    <xf numFmtId="0" fontId="29" fillId="0" borderId="17" xfId="0" applyFont="1" applyFill="1" applyBorder="1" applyAlignment="1">
      <alignment horizontal="center" vertical="top" wrapText="1"/>
    </xf>
    <xf numFmtId="0" fontId="35" fillId="0" borderId="28" xfId="0" applyFont="1" applyFill="1" applyBorder="1" applyAlignment="1">
      <alignment horizontal="left" vertical="top" wrapText="1"/>
    </xf>
    <xf numFmtId="0" fontId="26" fillId="0" borderId="28" xfId="0" applyFont="1" applyFill="1" applyBorder="1" applyAlignment="1">
      <alignment horizontal="left" vertical="top" wrapText="1"/>
    </xf>
    <xf numFmtId="0" fontId="35" fillId="0" borderId="17" xfId="0" applyFont="1" applyFill="1" applyBorder="1" applyAlignment="1">
      <alignment horizontal="left" vertical="top" wrapText="1"/>
    </xf>
    <xf numFmtId="0" fontId="26" fillId="0" borderId="17" xfId="0" applyFont="1" applyFill="1" applyBorder="1" applyAlignment="1">
      <alignment horizontal="left" vertical="top" wrapText="1"/>
    </xf>
    <xf numFmtId="0" fontId="36" fillId="0" borderId="17" xfId="0" applyFont="1" applyFill="1" applyBorder="1" applyAlignment="1">
      <alignment horizontal="left" vertical="top" wrapText="1"/>
    </xf>
    <xf numFmtId="0" fontId="37" fillId="0" borderId="17" xfId="0" applyFont="1" applyFill="1" applyBorder="1" applyAlignment="1">
      <alignment horizontal="left" vertical="top" wrapText="1"/>
    </xf>
    <xf numFmtId="0" fontId="38" fillId="0" borderId="29" xfId="0" applyFont="1" applyFill="1" applyBorder="1" applyAlignment="1">
      <alignment horizontal="left" vertical="top" wrapText="1"/>
    </xf>
    <xf numFmtId="0" fontId="13" fillId="2" borderId="30" xfId="0" applyFont="1" applyFill="1" applyBorder="1" applyAlignment="1">
      <alignment horizontal="left" vertical="top" wrapText="1"/>
    </xf>
    <xf numFmtId="0" fontId="13" fillId="2" borderId="19" xfId="0" applyFont="1" applyFill="1" applyBorder="1" applyAlignment="1">
      <alignment horizontal="left" vertical="top" wrapText="1"/>
    </xf>
    <xf numFmtId="0" fontId="13" fillId="2" borderId="20" xfId="0" applyFont="1" applyFill="1" applyBorder="1" applyAlignment="1">
      <alignment horizontal="left" vertical="top" wrapText="1"/>
    </xf>
    <xf numFmtId="0" fontId="13" fillId="0" borderId="18" xfId="0" applyFont="1" applyFill="1" applyBorder="1" applyAlignment="1">
      <alignment horizontal="left" vertical="top" wrapText="1"/>
    </xf>
    <xf numFmtId="0" fontId="13" fillId="0" borderId="19" xfId="0" applyFont="1" applyFill="1" applyBorder="1" applyAlignment="1">
      <alignment horizontal="left" vertical="top" wrapText="1"/>
    </xf>
    <xf numFmtId="0" fontId="13" fillId="0" borderId="20" xfId="0" applyFont="1" applyFill="1" applyBorder="1" applyAlignment="1">
      <alignment horizontal="center" vertical="top" wrapText="1"/>
    </xf>
    <xf numFmtId="0" fontId="26" fillId="0" borderId="18" xfId="0" applyFont="1" applyFill="1" applyBorder="1" applyAlignment="1">
      <alignment horizontal="left" vertical="top" wrapText="1"/>
    </xf>
    <xf numFmtId="0" fontId="26" fillId="0" borderId="19" xfId="0" applyFont="1" applyFill="1" applyBorder="1" applyAlignment="1">
      <alignment horizontal="left" vertical="top" wrapText="1"/>
    </xf>
    <xf numFmtId="0" fontId="26" fillId="0" borderId="20" xfId="0" applyFont="1" applyFill="1" applyBorder="1" applyAlignment="1">
      <alignment horizontal="left" vertical="top" wrapText="1"/>
    </xf>
    <xf numFmtId="0" fontId="26" fillId="0" borderId="18" xfId="0" applyFont="1" applyFill="1" applyBorder="1" applyAlignment="1">
      <alignment horizontal="center" vertical="top" wrapText="1"/>
    </xf>
    <xf numFmtId="0" fontId="26" fillId="0" borderId="19" xfId="0" applyFont="1" applyFill="1" applyBorder="1" applyAlignment="1">
      <alignment horizontal="center" vertical="top" wrapText="1"/>
    </xf>
    <xf numFmtId="0" fontId="26" fillId="0" borderId="20" xfId="0" applyFont="1" applyFill="1" applyBorder="1" applyAlignment="1">
      <alignment horizontal="center" vertical="top" wrapText="1"/>
    </xf>
    <xf numFmtId="0" fontId="26" fillId="0" borderId="31" xfId="0" applyFont="1" applyFill="1" applyBorder="1" applyAlignment="1">
      <alignment horizontal="center" vertical="top" wrapText="1"/>
    </xf>
    <xf numFmtId="0" fontId="26" fillId="0" borderId="17" xfId="0" applyFont="1" applyFill="1" applyBorder="1" applyAlignment="1">
      <alignment horizontal="center" vertical="top" wrapText="1"/>
    </xf>
    <xf numFmtId="0" fontId="39" fillId="0" borderId="17" xfId="0" applyFont="1" applyFill="1" applyBorder="1" applyAlignment="1">
      <alignment horizontal="left" vertical="top" wrapText="1"/>
    </xf>
    <xf numFmtId="0" fontId="39" fillId="0" borderId="29" xfId="0" applyFont="1" applyFill="1" applyBorder="1" applyAlignment="1">
      <alignment horizontal="left" vertical="top" wrapText="1"/>
    </xf>
    <xf numFmtId="0" fontId="30" fillId="0" borderId="32" xfId="0" applyFont="1" applyFill="1" applyBorder="1" applyAlignment="1">
      <alignment horizontal="center" vertical="center" wrapText="1"/>
    </xf>
    <xf numFmtId="0" fontId="15" fillId="0" borderId="32" xfId="0" applyFont="1" applyFill="1" applyBorder="1" applyAlignment="1">
      <alignment horizontal="left" vertical="center" wrapText="1"/>
    </xf>
    <xf numFmtId="0" fontId="26" fillId="0" borderId="32" xfId="0" applyFont="1" applyFill="1" applyBorder="1" applyAlignment="1">
      <alignment horizontal="left" vertical="center" wrapText="1"/>
    </xf>
    <xf numFmtId="0" fontId="26" fillId="0" borderId="32" xfId="0" applyFont="1" applyFill="1" applyBorder="1" applyAlignment="1">
      <alignment horizontal="center" vertical="center" wrapText="1"/>
    </xf>
    <xf numFmtId="0" fontId="33" fillId="0" borderId="32" xfId="0" applyFont="1" applyFill="1" applyBorder="1" applyAlignment="1">
      <alignment horizontal="left" vertical="center" wrapText="1"/>
    </xf>
    <xf numFmtId="0" fontId="29" fillId="0" borderId="32" xfId="0" applyFont="1" applyFill="1" applyBorder="1" applyAlignment="1">
      <alignment horizontal="center" vertical="center" wrapText="1"/>
    </xf>
    <xf numFmtId="0" fontId="30" fillId="0" borderId="33" xfId="0" applyFont="1" applyFill="1" applyBorder="1" applyAlignment="1">
      <alignment horizontal="left" wrapText="1"/>
    </xf>
    <xf numFmtId="0" fontId="29" fillId="0" borderId="33" xfId="0" applyFont="1" applyFill="1" applyBorder="1" applyAlignment="1">
      <alignment horizontal="left" wrapText="1"/>
    </xf>
    <xf numFmtId="0" fontId="29" fillId="0" borderId="33" xfId="0" applyFont="1" applyFill="1" applyBorder="1" applyAlignment="1">
      <alignment horizontal="center" wrapText="1"/>
    </xf>
    <xf numFmtId="0" fontId="28" fillId="0" borderId="34" xfId="0" applyFont="1" applyFill="1" applyBorder="1" applyAlignment="1">
      <alignment horizontal="left" wrapText="1"/>
    </xf>
    <xf numFmtId="0" fontId="29" fillId="0" borderId="34" xfId="0" applyFont="1" applyFill="1" applyBorder="1" applyAlignment="1">
      <alignment horizontal="left" wrapText="1"/>
    </xf>
    <xf numFmtId="0" fontId="29" fillId="0" borderId="34" xfId="0" applyFont="1" applyFill="1" applyBorder="1" applyAlignment="1">
      <alignment horizontal="center" wrapText="1"/>
    </xf>
    <xf numFmtId="0" fontId="40" fillId="0" borderId="35" xfId="0" applyFont="1" applyFill="1" applyBorder="1" applyAlignment="1">
      <alignment horizontal="center" wrapText="1"/>
    </xf>
    <xf numFmtId="0" fontId="26" fillId="0" borderId="35" xfId="0" applyFont="1" applyFill="1" applyBorder="1" applyAlignment="1">
      <alignment horizontal="center" wrapText="1"/>
    </xf>
    <xf numFmtId="0" fontId="26" fillId="0" borderId="36" xfId="0" applyFont="1" applyFill="1" applyBorder="1" applyAlignment="1">
      <alignment horizontal="left" vertical="top" wrapText="1"/>
    </xf>
    <xf numFmtId="0" fontId="40" fillId="0" borderId="36" xfId="0" applyFont="1" applyFill="1" applyBorder="1" applyAlignment="1">
      <alignment horizontal="right" wrapText="1"/>
    </xf>
    <xf numFmtId="0" fontId="26" fillId="0" borderId="36" xfId="0" applyFont="1" applyFill="1" applyBorder="1" applyAlignment="1">
      <alignment horizontal="right" wrapText="1"/>
    </xf>
    <xf numFmtId="0" fontId="26" fillId="0" borderId="36" xfId="0" applyFont="1" applyFill="1" applyBorder="1" applyAlignment="1">
      <alignment horizontal="center" wrapText="1"/>
    </xf>
    <xf numFmtId="0" fontId="41" fillId="0" borderId="37" xfId="0" applyFont="1" applyFill="1" applyBorder="1" applyAlignment="1">
      <alignment horizontal="center" wrapText="1"/>
    </xf>
    <xf numFmtId="0" fontId="26" fillId="0" borderId="37" xfId="0" applyFont="1" applyFill="1" applyBorder="1" applyAlignment="1">
      <alignment horizontal="center" wrapText="1"/>
    </xf>
    <xf numFmtId="0" fontId="28" fillId="0" borderId="22" xfId="0" applyFont="1" applyFill="1" applyBorder="1" applyAlignment="1">
      <alignment horizontal="left" wrapText="1"/>
    </xf>
    <xf numFmtId="0" fontId="29" fillId="0" borderId="22" xfId="0" applyFont="1" applyFill="1" applyBorder="1" applyAlignment="1">
      <alignment horizontal="left" wrapText="1"/>
    </xf>
    <xf numFmtId="0" fontId="29" fillId="0" borderId="22" xfId="0" applyFont="1" applyFill="1" applyBorder="1" applyAlignment="1">
      <alignment horizontal="center" wrapText="1"/>
    </xf>
    <xf numFmtId="49" fontId="26" fillId="0" borderId="38" xfId="0" applyNumberFormat="1" applyFont="1" applyFill="1" applyBorder="1" applyAlignment="1">
      <alignment horizontal="left" vertical="top" wrapText="1"/>
    </xf>
    <xf numFmtId="49" fontId="26" fillId="0" borderId="1" xfId="0" applyNumberFormat="1" applyFont="1" applyFill="1" applyBorder="1" applyAlignment="1">
      <alignment horizontal="left" vertical="top" wrapText="1"/>
    </xf>
    <xf numFmtId="0" fontId="34" fillId="0" borderId="18" xfId="0" applyFont="1" applyFill="1" applyBorder="1" applyAlignment="1">
      <alignment horizontal="center" vertical="center" wrapText="1"/>
    </xf>
    <xf numFmtId="0" fontId="42" fillId="0" borderId="39" xfId="0" applyFont="1" applyFill="1" applyBorder="1" applyAlignment="1">
      <alignment horizontal="center" vertical="center" wrapText="1"/>
    </xf>
    <xf numFmtId="0" fontId="43" fillId="0" borderId="39" xfId="0" applyFont="1" applyFill="1" applyBorder="1" applyAlignment="1">
      <alignment horizontal="center" vertical="center" wrapText="1"/>
    </xf>
    <xf numFmtId="0" fontId="13" fillId="0" borderId="39" xfId="0" applyFont="1" applyFill="1" applyBorder="1" applyAlignment="1">
      <alignment horizontal="center" vertical="center" wrapText="1"/>
    </xf>
    <xf numFmtId="0" fontId="13" fillId="0" borderId="32" xfId="0" applyFont="1" applyFill="1" applyBorder="1" applyAlignment="1">
      <alignment horizontal="center" vertical="center" wrapText="1"/>
    </xf>
    <xf numFmtId="0" fontId="44" fillId="0" borderId="32" xfId="0" applyFont="1" applyFill="1" applyBorder="1" applyAlignment="1">
      <alignment horizontal="center" vertical="center" wrapText="1"/>
    </xf>
    <xf numFmtId="180" fontId="44" fillId="0" borderId="32" xfId="0" applyNumberFormat="1" applyFont="1" applyFill="1" applyBorder="1" applyAlignment="1">
      <alignment horizontal="center" vertical="center" wrapText="1"/>
    </xf>
    <xf numFmtId="0" fontId="43" fillId="0" borderId="19" xfId="0" applyNumberFormat="1" applyFont="1" applyFill="1" applyBorder="1" applyAlignment="1">
      <alignment horizontal="center" vertical="center" wrapText="1"/>
    </xf>
    <xf numFmtId="0" fontId="43" fillId="0" borderId="20" xfId="0" applyNumberFormat="1" applyFont="1" applyFill="1" applyBorder="1" applyAlignment="1">
      <alignment horizontal="center" vertical="center" wrapText="1"/>
    </xf>
    <xf numFmtId="181" fontId="42" fillId="0" borderId="19" xfId="0" applyNumberFormat="1" applyFont="1" applyFill="1" applyBorder="1" applyAlignment="1">
      <alignment horizontal="center" vertical="center" wrapText="1"/>
    </xf>
    <xf numFmtId="181" fontId="42" fillId="0" borderId="20" xfId="0" applyNumberFormat="1" applyFont="1" applyFill="1" applyBorder="1" applyAlignment="1">
      <alignment horizontal="center" vertical="center" wrapText="1"/>
    </xf>
    <xf numFmtId="181" fontId="45" fillId="0" borderId="20" xfId="0" applyNumberFormat="1" applyFont="1" applyFill="1" applyBorder="1" applyAlignment="1">
      <alignment vertical="center" wrapText="1"/>
    </xf>
    <xf numFmtId="0" fontId="13" fillId="0" borderId="38" xfId="0" applyNumberFormat="1" applyFont="1" applyFill="1" applyBorder="1" applyAlignment="1">
      <alignment horizontal="left" vertical="center" wrapText="1"/>
    </xf>
    <xf numFmtId="0" fontId="13" fillId="0" borderId="1" xfId="0" applyNumberFormat="1" applyFont="1" applyFill="1" applyBorder="1" applyAlignment="1">
      <alignment horizontal="left" vertical="center" wrapText="1"/>
    </xf>
    <xf numFmtId="0" fontId="46" fillId="0" borderId="0" xfId="0" applyFont="1" applyFill="1" applyBorder="1" applyAlignment="1">
      <alignment horizontal="center" vertical="top" wrapText="1"/>
    </xf>
    <xf numFmtId="0" fontId="39" fillId="0" borderId="17" xfId="0" applyFont="1" applyFill="1" applyBorder="1" applyAlignment="1">
      <alignment horizontal="center" wrapText="1"/>
    </xf>
    <xf numFmtId="0" fontId="26" fillId="0" borderId="17" xfId="0" applyFont="1" applyFill="1" applyBorder="1" applyAlignment="1">
      <alignment horizontal="center" wrapText="1"/>
    </xf>
    <xf numFmtId="1" fontId="47" fillId="0" borderId="17" xfId="0" applyNumberFormat="1" applyFont="1" applyFill="1" applyBorder="1" applyAlignment="1">
      <alignment horizontal="center" vertical="center" wrapText="1"/>
    </xf>
    <xf numFmtId="0" fontId="48" fillId="0" borderId="17" xfId="0" applyFont="1" applyFill="1" applyBorder="1" applyAlignment="1">
      <alignment horizontal="center" vertical="center" wrapText="1"/>
    </xf>
    <xf numFmtId="1" fontId="49" fillId="0" borderId="17" xfId="0" applyNumberFormat="1" applyFont="1" applyFill="1" applyBorder="1" applyAlignment="1">
      <alignment horizontal="center" vertical="center" wrapText="1"/>
    </xf>
    <xf numFmtId="0" fontId="48" fillId="0" borderId="17" xfId="0" applyFont="1" applyFill="1" applyBorder="1" applyAlignment="1">
      <alignment horizontal="left" vertical="top" wrapText="1"/>
    </xf>
    <xf numFmtId="0" fontId="49" fillId="0" borderId="17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34290</xdr:colOff>
      <xdr:row>22</xdr:row>
      <xdr:rowOff>88900</xdr:rowOff>
    </xdr:from>
    <xdr:ext cx="686434" cy="254000"/>
    <xdr:pic>
      <xdr:nvPicPr>
        <xdr:cNvPr id="2" name="image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" y="8009890"/>
          <a:ext cx="685800" cy="254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AE21"/>
  <sheetViews>
    <sheetView tabSelected="1" zoomScale="85" zoomScaleNormal="85" workbookViewId="0">
      <selection activeCell="M16" sqref="M16"/>
    </sheetView>
  </sheetViews>
  <sheetFormatPr defaultColWidth="10.2833333333333" defaultRowHeight="16.5"/>
  <cols>
    <col min="1" max="1" width="7.55833333333333" style="175" customWidth="1"/>
    <col min="2" max="2" width="3.675" style="175" customWidth="1"/>
    <col min="3" max="3" width="7.2" style="175" customWidth="1"/>
    <col min="4" max="4" width="4.83333333333333" style="175" customWidth="1"/>
    <col min="5" max="5" width="10.675" style="175" customWidth="1"/>
    <col min="6" max="6" width="3.21666666666667" style="175" customWidth="1"/>
    <col min="7" max="7" width="3.80833333333333" style="175" customWidth="1"/>
    <col min="8" max="8" width="6.475" style="175" customWidth="1"/>
    <col min="9" max="9" width="5.30833333333333" style="175" customWidth="1"/>
    <col min="10" max="10" width="1.56666666666667" style="175" customWidth="1"/>
    <col min="11" max="11" width="4.88333333333333" style="175" customWidth="1"/>
    <col min="12" max="12" width="10.425" style="175" customWidth="1"/>
    <col min="13" max="13" width="4.375" style="176" customWidth="1"/>
    <col min="14" max="14" width="6.125" style="175" customWidth="1"/>
    <col min="15" max="15" width="3.28333333333333" style="175" customWidth="1"/>
    <col min="16" max="16" width="10.25" style="175" customWidth="1"/>
    <col min="17" max="17" width="1.05833333333333" style="175" customWidth="1"/>
    <col min="18" max="18" width="3.875" style="175" customWidth="1"/>
    <col min="19" max="19" width="2.74166666666667" style="175" customWidth="1"/>
    <col min="20" max="20" width="12.4416666666667" style="175" customWidth="1"/>
    <col min="21" max="21" width="2.83333333333333" style="175" customWidth="1"/>
    <col min="22" max="22" width="4.075" style="175" customWidth="1"/>
    <col min="23" max="23" width="3.425" style="175" customWidth="1"/>
    <col min="24" max="24" width="10.4" style="175" customWidth="1"/>
    <col min="25" max="25" width="5" style="175" customWidth="1"/>
    <col min="26" max="26" width="11.1083333333333" style="175" customWidth="1"/>
    <col min="27" max="27" width="16.5666666666667" style="175" customWidth="1"/>
    <col min="28" max="28" width="5.375" style="175" customWidth="1"/>
    <col min="29" max="16384" width="10.2833333333333" style="175"/>
  </cols>
  <sheetData>
    <row r="1" ht="21.75" customHeight="1" spans="1:31">
      <c r="A1" s="177" t="s">
        <v>0</v>
      </c>
      <c r="B1" s="178" t="s">
        <v>1</v>
      </c>
      <c r="C1" s="178" t="s">
        <v>1</v>
      </c>
      <c r="D1" s="179"/>
      <c r="E1" s="179"/>
      <c r="F1" s="179" t="s">
        <v>1</v>
      </c>
      <c r="G1" s="179" t="s">
        <v>1</v>
      </c>
      <c r="H1" s="179" t="s">
        <v>1</v>
      </c>
      <c r="I1" s="179"/>
      <c r="J1" s="179" t="s">
        <v>1</v>
      </c>
      <c r="K1" s="179" t="s">
        <v>1</v>
      </c>
      <c r="L1" s="179"/>
      <c r="M1" s="180" t="s">
        <v>1</v>
      </c>
      <c r="N1" s="179"/>
      <c r="O1" s="179" t="s">
        <v>1</v>
      </c>
      <c r="P1" s="179" t="s">
        <v>1</v>
      </c>
      <c r="Q1" s="179"/>
      <c r="R1" s="179" t="s">
        <v>1</v>
      </c>
      <c r="S1" s="179" t="s">
        <v>1</v>
      </c>
      <c r="T1" s="179"/>
      <c r="U1" s="179" t="s">
        <v>1</v>
      </c>
      <c r="V1" s="179"/>
      <c r="W1" s="179" t="s">
        <v>1</v>
      </c>
      <c r="X1" s="179"/>
      <c r="Y1" s="179"/>
      <c r="Z1" s="179"/>
      <c r="AA1" s="179"/>
      <c r="AB1" s="179" t="s">
        <v>1</v>
      </c>
    </row>
    <row r="2" ht="14" customHeight="1" spans="1:31">
      <c r="A2" s="181" t="s">
        <v>2</v>
      </c>
      <c r="B2" s="182" t="s">
        <v>1</v>
      </c>
      <c r="C2" s="182" t="s">
        <v>1</v>
      </c>
      <c r="D2" s="183"/>
      <c r="E2" s="183"/>
      <c r="F2" s="183" t="s">
        <v>1</v>
      </c>
      <c r="G2" s="183" t="s">
        <v>1</v>
      </c>
      <c r="H2" s="183" t="s">
        <v>1</v>
      </c>
      <c r="I2" s="183"/>
      <c r="J2" s="183" t="s">
        <v>1</v>
      </c>
      <c r="K2" s="183" t="s">
        <v>1</v>
      </c>
      <c r="L2" s="181" t="s">
        <v>3</v>
      </c>
      <c r="M2" s="184" t="s">
        <v>1</v>
      </c>
      <c r="N2" s="183"/>
      <c r="O2" s="183" t="s">
        <v>1</v>
      </c>
      <c r="P2" s="183" t="s">
        <v>1</v>
      </c>
      <c r="Q2" s="183"/>
      <c r="R2" s="183" t="s">
        <v>1</v>
      </c>
      <c r="S2" s="183" t="s">
        <v>1</v>
      </c>
      <c r="T2" s="185" t="s">
        <v>4</v>
      </c>
      <c r="U2" s="186" t="s">
        <v>1</v>
      </c>
      <c r="V2" s="183"/>
      <c r="W2" s="183" t="s">
        <v>1</v>
      </c>
      <c r="X2" s="183"/>
      <c r="Y2" s="183"/>
      <c r="Z2" s="183"/>
      <c r="AA2" s="183"/>
      <c r="AB2" s="183" t="s">
        <v>1</v>
      </c>
    </row>
    <row r="3" ht="24.85" customHeight="1" spans="1:31">
      <c r="A3" s="187" t="s">
        <v>5</v>
      </c>
      <c r="B3" s="187" t="s">
        <v>1</v>
      </c>
      <c r="C3" s="187" t="s">
        <v>1</v>
      </c>
      <c r="D3" s="187"/>
      <c r="E3" s="187"/>
      <c r="F3" s="187" t="s">
        <v>1</v>
      </c>
      <c r="G3" s="187" t="s">
        <v>1</v>
      </c>
      <c r="H3" s="187" t="s">
        <v>1</v>
      </c>
      <c r="I3" s="188" t="s">
        <v>6</v>
      </c>
      <c r="J3" s="189" t="s">
        <v>1</v>
      </c>
      <c r="K3" s="189" t="s">
        <v>1</v>
      </c>
      <c r="L3" s="189"/>
      <c r="M3" s="190" t="s">
        <v>1</v>
      </c>
      <c r="N3" s="191" t="s">
        <v>7</v>
      </c>
      <c r="O3" s="189" t="s">
        <v>1</v>
      </c>
      <c r="P3" s="189" t="s">
        <v>1</v>
      </c>
      <c r="Q3" s="189"/>
      <c r="R3" s="189" t="s">
        <v>1</v>
      </c>
      <c r="S3" s="189" t="s">
        <v>1</v>
      </c>
      <c r="T3" s="189"/>
      <c r="U3" s="189" t="s">
        <v>1</v>
      </c>
      <c r="V3" s="191" t="s">
        <v>8</v>
      </c>
      <c r="W3" s="189" t="s">
        <v>1</v>
      </c>
      <c r="X3" s="189"/>
      <c r="Y3" s="189"/>
      <c r="Z3" s="192" t="s">
        <v>9</v>
      </c>
      <c r="AA3" s="193"/>
      <c r="AB3" s="193" t="s">
        <v>1</v>
      </c>
    </row>
    <row r="4" ht="35" customHeight="1" spans="1:31">
      <c r="A4" s="194" t="s">
        <v>10</v>
      </c>
      <c r="B4" s="195"/>
      <c r="C4" s="195"/>
      <c r="D4" s="195"/>
      <c r="E4" s="195"/>
      <c r="F4" s="195"/>
      <c r="G4" s="195"/>
      <c r="H4" s="196"/>
      <c r="I4" s="197"/>
      <c r="J4" s="198"/>
      <c r="K4" s="198"/>
      <c r="L4" s="198"/>
      <c r="M4" s="199"/>
      <c r="N4" s="200">
        <f>V4+3</f>
        <v>46163</v>
      </c>
      <c r="O4" s="201"/>
      <c r="P4" s="201"/>
      <c r="Q4" s="201"/>
      <c r="R4" s="201"/>
      <c r="S4" s="201"/>
      <c r="T4" s="201"/>
      <c r="U4" s="202"/>
      <c r="V4" s="203">
        <v>46160</v>
      </c>
      <c r="W4" s="204"/>
      <c r="X4" s="204"/>
      <c r="Y4" s="205"/>
      <c r="Z4" s="197"/>
      <c r="AA4" s="198"/>
      <c r="AB4" s="206"/>
    </row>
    <row r="5" ht="35" customHeight="1" spans="1:31">
      <c r="A5" s="207" t="s">
        <v>11</v>
      </c>
      <c r="B5" s="208" t="s">
        <v>1</v>
      </c>
      <c r="C5" s="208" t="s">
        <v>1</v>
      </c>
      <c r="D5" s="208"/>
      <c r="E5" s="208"/>
      <c r="F5" s="208" t="s">
        <v>1</v>
      </c>
      <c r="G5" s="208" t="s">
        <v>1</v>
      </c>
      <c r="H5" s="208" t="s">
        <v>1</v>
      </c>
      <c r="I5" s="209" t="s">
        <v>12</v>
      </c>
      <c r="J5" s="210" t="s">
        <v>1</v>
      </c>
      <c r="K5" s="210" t="s">
        <v>1</v>
      </c>
      <c r="L5" s="210"/>
      <c r="M5" s="211" t="s">
        <v>1</v>
      </c>
      <c r="N5" s="212" t="s">
        <v>13</v>
      </c>
      <c r="O5" s="210" t="s">
        <v>1</v>
      </c>
      <c r="P5" s="210" t="s">
        <v>1</v>
      </c>
      <c r="Q5" s="210"/>
      <c r="R5" s="210" t="s">
        <v>1</v>
      </c>
      <c r="S5" s="210" t="s">
        <v>1</v>
      </c>
      <c r="T5" s="210"/>
      <c r="U5" s="210" t="s">
        <v>1</v>
      </c>
      <c r="V5" s="212" t="s">
        <v>14</v>
      </c>
      <c r="W5" s="210" t="s">
        <v>1</v>
      </c>
      <c r="X5" s="210"/>
      <c r="Y5" s="210"/>
      <c r="Z5" s="213"/>
      <c r="AA5" s="213"/>
      <c r="AB5" s="213" t="s">
        <v>1</v>
      </c>
    </row>
    <row r="6" ht="31" customHeight="1" spans="1:31">
      <c r="A6" s="194" t="s">
        <v>15</v>
      </c>
      <c r="B6" s="195" t="s">
        <v>1</v>
      </c>
      <c r="C6" s="195" t="s">
        <v>1</v>
      </c>
      <c r="D6" s="195"/>
      <c r="E6" s="195"/>
      <c r="F6" s="195" t="s">
        <v>1</v>
      </c>
      <c r="G6" s="195" t="s">
        <v>1</v>
      </c>
      <c r="H6" s="196" t="s">
        <v>1</v>
      </c>
      <c r="I6" s="214" t="s">
        <v>16</v>
      </c>
      <c r="J6" s="215" t="s">
        <v>1</v>
      </c>
      <c r="K6" s="215" t="s">
        <v>1</v>
      </c>
      <c r="L6" s="215"/>
      <c r="M6" s="216" t="s">
        <v>1</v>
      </c>
      <c r="N6" s="214" t="s">
        <v>17</v>
      </c>
      <c r="O6" s="215" t="s">
        <v>1</v>
      </c>
      <c r="P6" s="215" t="s">
        <v>1</v>
      </c>
      <c r="Q6" s="215"/>
      <c r="R6" s="215" t="s">
        <v>1</v>
      </c>
      <c r="S6" s="215" t="s">
        <v>1</v>
      </c>
      <c r="T6" s="215"/>
      <c r="U6" s="215" t="s">
        <v>1</v>
      </c>
      <c r="V6" s="214" t="s">
        <v>18</v>
      </c>
      <c r="W6" s="215" t="s">
        <v>1</v>
      </c>
      <c r="X6" s="215"/>
      <c r="Y6" s="215"/>
      <c r="Z6" s="213"/>
      <c r="AA6" s="213"/>
      <c r="AB6" s="213" t="s">
        <v>1</v>
      </c>
    </row>
    <row r="7" ht="25" customHeight="1" spans="1:31">
      <c r="A7" s="217" t="s">
        <v>19</v>
      </c>
      <c r="B7" s="218" t="s">
        <v>1</v>
      </c>
      <c r="C7" s="218" t="s">
        <v>1</v>
      </c>
      <c r="D7" s="218"/>
      <c r="E7" s="218"/>
      <c r="F7" s="218" t="s">
        <v>1</v>
      </c>
      <c r="G7" s="218" t="s">
        <v>1</v>
      </c>
      <c r="H7" s="218" t="s">
        <v>1</v>
      </c>
      <c r="I7" s="209" t="s">
        <v>20</v>
      </c>
      <c r="J7" s="210" t="s">
        <v>1</v>
      </c>
      <c r="K7" s="210" t="s">
        <v>1</v>
      </c>
      <c r="L7" s="210"/>
      <c r="M7" s="211" t="s">
        <v>1</v>
      </c>
      <c r="N7" s="219" t="s">
        <v>21</v>
      </c>
      <c r="O7" s="220" t="s">
        <v>1</v>
      </c>
      <c r="P7" s="220" t="s">
        <v>1</v>
      </c>
      <c r="Q7" s="220"/>
      <c r="R7" s="220" t="s">
        <v>1</v>
      </c>
      <c r="S7" s="220" t="s">
        <v>1</v>
      </c>
      <c r="T7" s="220"/>
      <c r="U7" s="220" t="s">
        <v>1</v>
      </c>
      <c r="V7" s="221" t="s">
        <v>22</v>
      </c>
      <c r="W7" s="222" t="s">
        <v>1</v>
      </c>
      <c r="X7" s="222"/>
      <c r="Y7" s="222"/>
      <c r="Z7" s="223" t="s">
        <v>23</v>
      </c>
      <c r="AA7" s="213"/>
      <c r="AB7" s="213" t="s">
        <v>1</v>
      </c>
    </row>
    <row r="8" ht="24.35" customHeight="1" spans="1:31">
      <c r="A8" s="224" t="s">
        <v>24</v>
      </c>
      <c r="B8" s="225"/>
      <c r="C8" s="225"/>
      <c r="D8" s="225"/>
      <c r="E8" s="225"/>
      <c r="F8" s="225"/>
      <c r="G8" s="225"/>
      <c r="H8" s="226"/>
      <c r="I8" s="227" t="s">
        <v>25</v>
      </c>
      <c r="J8" s="228"/>
      <c r="K8" s="228"/>
      <c r="L8" s="228"/>
      <c r="M8" s="229"/>
      <c r="N8" s="230" t="str">
        <f>I8</f>
        <v>美国</v>
      </c>
      <c r="O8" s="231"/>
      <c r="P8" s="231"/>
      <c r="Q8" s="231"/>
      <c r="R8" s="231"/>
      <c r="S8" s="231"/>
      <c r="T8" s="231"/>
      <c r="U8" s="232"/>
      <c r="V8" s="233" t="str">
        <f>I8</f>
        <v>美国</v>
      </c>
      <c r="W8" s="234"/>
      <c r="X8" s="234"/>
      <c r="Y8" s="235"/>
      <c r="Z8" s="233"/>
      <c r="AA8" s="234"/>
      <c r="AB8" s="236"/>
    </row>
    <row r="9" ht="24.35" customHeight="1" spans="1:31">
      <c r="A9" s="217" t="s">
        <v>26</v>
      </c>
      <c r="B9" s="218" t="s">
        <v>1</v>
      </c>
      <c r="C9" s="218" t="s">
        <v>1</v>
      </c>
      <c r="D9" s="218"/>
      <c r="E9" s="218"/>
      <c r="F9" s="218" t="s">
        <v>1</v>
      </c>
      <c r="G9" s="218" t="s">
        <v>1</v>
      </c>
      <c r="H9" s="218" t="s">
        <v>1</v>
      </c>
      <c r="I9" s="219" t="s">
        <v>27</v>
      </c>
      <c r="J9" s="220" t="s">
        <v>1</v>
      </c>
      <c r="K9" s="220" t="s">
        <v>1</v>
      </c>
      <c r="L9" s="219" t="s">
        <v>28</v>
      </c>
      <c r="M9" s="237" t="s">
        <v>1</v>
      </c>
      <c r="N9" s="219" t="s">
        <v>29</v>
      </c>
      <c r="O9" s="220" t="s">
        <v>1</v>
      </c>
      <c r="P9" s="220" t="s">
        <v>1</v>
      </c>
      <c r="Q9" s="220"/>
      <c r="R9" s="220" t="s">
        <v>1</v>
      </c>
      <c r="S9" s="220" t="s">
        <v>1</v>
      </c>
      <c r="T9" s="219" t="s">
        <v>30</v>
      </c>
      <c r="U9" s="220" t="s">
        <v>1</v>
      </c>
      <c r="V9" s="238" t="s">
        <v>31</v>
      </c>
      <c r="W9" s="220" t="s">
        <v>1</v>
      </c>
      <c r="X9" s="220"/>
      <c r="Y9" s="238" t="s">
        <v>32</v>
      </c>
      <c r="Z9" s="220"/>
      <c r="AA9" s="239" t="s">
        <v>33</v>
      </c>
      <c r="AB9" s="213" t="s">
        <v>1</v>
      </c>
    </row>
    <row r="10" ht="21.9" customHeight="1" spans="1:31">
      <c r="A10" s="240" t="s">
        <v>34</v>
      </c>
      <c r="B10" s="240"/>
      <c r="C10" s="240"/>
      <c r="D10" s="240"/>
      <c r="E10" s="240"/>
      <c r="F10" s="240"/>
      <c r="G10" s="240"/>
      <c r="H10" s="240"/>
      <c r="I10" s="241">
        <v>61</v>
      </c>
      <c r="J10" s="241"/>
      <c r="K10" s="241"/>
      <c r="L10" s="242">
        <f>SUM(AC15:AC16)</f>
        <v>997.35</v>
      </c>
      <c r="M10" s="243"/>
      <c r="N10" s="242">
        <f>SUM(AD15:AD16)</f>
        <v>866.81</v>
      </c>
      <c r="O10" s="242"/>
      <c r="P10" s="242"/>
      <c r="Q10" s="242"/>
      <c r="R10" s="242"/>
      <c r="S10" s="242"/>
      <c r="T10" s="244" t="s">
        <v>35</v>
      </c>
      <c r="U10" s="244"/>
      <c r="V10" s="245"/>
      <c r="W10" s="245"/>
      <c r="X10" s="245"/>
      <c r="Y10" s="245"/>
      <c r="Z10" s="245"/>
      <c r="AA10" s="245"/>
      <c r="AB10" s="245"/>
    </row>
    <row r="11" ht="31" customHeight="1" spans="1:31">
      <c r="A11" s="246" t="s">
        <v>36</v>
      </c>
      <c r="B11" s="247" t="s">
        <v>1</v>
      </c>
      <c r="C11" s="247" t="s">
        <v>1</v>
      </c>
      <c r="D11" s="247"/>
      <c r="E11" s="247"/>
      <c r="F11" s="247" t="s">
        <v>1</v>
      </c>
      <c r="G11" s="247" t="s">
        <v>1</v>
      </c>
      <c r="H11" s="247" t="s">
        <v>1</v>
      </c>
      <c r="I11" s="247"/>
      <c r="J11" s="247" t="s">
        <v>1</v>
      </c>
      <c r="K11" s="247" t="s">
        <v>1</v>
      </c>
      <c r="L11" s="247"/>
      <c r="M11" s="248" t="s">
        <v>1</v>
      </c>
      <c r="N11" s="247"/>
      <c r="O11" s="247" t="s">
        <v>1</v>
      </c>
      <c r="P11" s="247" t="s">
        <v>1</v>
      </c>
      <c r="Q11" s="247"/>
      <c r="R11" s="247" t="s">
        <v>1</v>
      </c>
      <c r="S11" s="247" t="s">
        <v>1</v>
      </c>
      <c r="T11" s="247"/>
      <c r="U11" s="247" t="s">
        <v>1</v>
      </c>
      <c r="V11" s="247"/>
      <c r="W11" s="247" t="s">
        <v>1</v>
      </c>
      <c r="X11" s="247"/>
      <c r="Y11" s="247"/>
      <c r="Z11" s="247"/>
      <c r="AA11" s="247"/>
      <c r="AB11" s="247" t="s">
        <v>1</v>
      </c>
    </row>
    <row r="12" ht="39.2" customHeight="1" spans="1:31">
      <c r="A12" s="249" t="s">
        <v>37</v>
      </c>
      <c r="B12" s="250" t="s">
        <v>1</v>
      </c>
      <c r="C12" s="250" t="s">
        <v>1</v>
      </c>
      <c r="D12" s="250"/>
      <c r="E12" s="250"/>
      <c r="F12" s="250" t="s">
        <v>1</v>
      </c>
      <c r="G12" s="250" t="s">
        <v>1</v>
      </c>
      <c r="H12" s="250" t="s">
        <v>1</v>
      </c>
      <c r="I12" s="250"/>
      <c r="J12" s="250" t="s">
        <v>1</v>
      </c>
      <c r="K12" s="250" t="s">
        <v>1</v>
      </c>
      <c r="L12" s="250"/>
      <c r="M12" s="251" t="s">
        <v>1</v>
      </c>
      <c r="N12" s="250"/>
      <c r="O12" s="250" t="s">
        <v>1</v>
      </c>
      <c r="P12" s="250" t="s">
        <v>1</v>
      </c>
      <c r="Q12" s="250"/>
      <c r="R12" s="250" t="s">
        <v>1</v>
      </c>
      <c r="S12" s="250" t="s">
        <v>1</v>
      </c>
      <c r="T12" s="250"/>
      <c r="U12" s="250" t="s">
        <v>1</v>
      </c>
      <c r="V12" s="250"/>
      <c r="W12" s="250" t="s">
        <v>1</v>
      </c>
      <c r="X12" s="250"/>
      <c r="Y12" s="250"/>
      <c r="Z12" s="250"/>
      <c r="AA12" s="250"/>
      <c r="AB12" s="250" t="s">
        <v>1</v>
      </c>
    </row>
    <row r="13" ht="12.85" customHeight="1" spans="1:31">
      <c r="A13" s="252" t="s">
        <v>38</v>
      </c>
      <c r="B13" s="253" t="s">
        <v>1</v>
      </c>
      <c r="C13" s="253" t="s">
        <v>1</v>
      </c>
      <c r="D13" s="254"/>
      <c r="E13" s="255" t="s">
        <v>39</v>
      </c>
      <c r="F13" s="256" t="s">
        <v>1</v>
      </c>
      <c r="G13" s="256" t="s">
        <v>1</v>
      </c>
      <c r="H13" s="256" t="s">
        <v>1</v>
      </c>
      <c r="I13" s="254"/>
      <c r="J13" s="254" t="s">
        <v>1</v>
      </c>
      <c r="K13" s="254" t="s">
        <v>1</v>
      </c>
      <c r="L13" s="255" t="s">
        <v>40</v>
      </c>
      <c r="M13" s="257" t="s">
        <v>1</v>
      </c>
      <c r="N13" s="256"/>
      <c r="O13" s="256" t="s">
        <v>1</v>
      </c>
      <c r="P13" s="256" t="s">
        <v>1</v>
      </c>
      <c r="Q13" s="254"/>
      <c r="R13" s="254" t="s">
        <v>1</v>
      </c>
      <c r="S13" s="254" t="s">
        <v>1</v>
      </c>
      <c r="T13" s="255" t="s">
        <v>41</v>
      </c>
      <c r="U13" s="256" t="s">
        <v>1</v>
      </c>
      <c r="V13" s="256"/>
      <c r="W13" s="256" t="s">
        <v>1</v>
      </c>
      <c r="X13" s="258" t="s">
        <v>42</v>
      </c>
      <c r="Y13" s="259"/>
      <c r="Z13" s="259"/>
      <c r="AA13" s="259"/>
      <c r="AB13" s="259" t="s">
        <v>1</v>
      </c>
    </row>
    <row r="14" ht="21" customHeight="1" spans="1:31">
      <c r="A14" s="260" t="s">
        <v>43</v>
      </c>
      <c r="B14" s="261" t="s">
        <v>1</v>
      </c>
      <c r="C14" s="261" t="s">
        <v>1</v>
      </c>
      <c r="D14" s="261"/>
      <c r="E14" s="261"/>
      <c r="F14" s="261" t="s">
        <v>1</v>
      </c>
      <c r="G14" s="261" t="s">
        <v>1</v>
      </c>
      <c r="H14" s="261" t="s">
        <v>1</v>
      </c>
      <c r="I14" s="261"/>
      <c r="J14" s="261" t="s">
        <v>1</v>
      </c>
      <c r="K14" s="261" t="s">
        <v>1</v>
      </c>
      <c r="L14" s="261"/>
      <c r="M14" s="262" t="s">
        <v>1</v>
      </c>
      <c r="N14" s="261"/>
      <c r="O14" s="261" t="s">
        <v>1</v>
      </c>
      <c r="P14" s="261" t="s">
        <v>1</v>
      </c>
      <c r="Q14" s="261"/>
      <c r="R14" s="261" t="s">
        <v>1</v>
      </c>
      <c r="S14" s="261" t="s">
        <v>1</v>
      </c>
      <c r="T14" s="261"/>
      <c r="U14" s="261" t="s">
        <v>1</v>
      </c>
      <c r="V14" s="261"/>
      <c r="W14" s="261" t="s">
        <v>1</v>
      </c>
      <c r="X14" s="261"/>
      <c r="Y14" s="261"/>
      <c r="Z14" s="261"/>
      <c r="AA14" s="261"/>
      <c r="AB14" s="261" t="s">
        <v>1</v>
      </c>
      <c r="AC14" s="263" t="s">
        <v>44</v>
      </c>
      <c r="AD14" s="264" t="s">
        <v>45</v>
      </c>
      <c r="AE14" s="264" t="s">
        <v>27</v>
      </c>
    </row>
    <row r="15" s="175" customFormat="1" ht="51" customHeight="1" spans="1:31">
      <c r="A15" s="265">
        <v>1</v>
      </c>
      <c r="B15" s="266">
        <f>E19</f>
        <v>6302539090</v>
      </c>
      <c r="C15" s="266"/>
      <c r="D15" s="266"/>
      <c r="E15" s="267" t="s">
        <v>46</v>
      </c>
      <c r="F15" s="268"/>
      <c r="G15" s="268" t="s">
        <v>1</v>
      </c>
      <c r="H15" s="268" t="s">
        <v>1</v>
      </c>
      <c r="I15" s="268"/>
      <c r="J15" s="268" t="s">
        <v>1</v>
      </c>
      <c r="K15" s="268" t="s">
        <v>1</v>
      </c>
      <c r="L15" s="269">
        <v>2440</v>
      </c>
      <c r="M15" s="270" t="s">
        <v>47</v>
      </c>
      <c r="N15" s="269">
        <f>P15/L15</f>
        <v>1.55</v>
      </c>
      <c r="O15" s="269"/>
      <c r="P15" s="271">
        <v>3782</v>
      </c>
      <c r="Q15" s="269" t="s">
        <v>48</v>
      </c>
      <c r="R15" s="269"/>
      <c r="S15" s="270" t="s">
        <v>49</v>
      </c>
      <c r="T15" s="270"/>
      <c r="U15" s="272" t="str">
        <f>$I$8</f>
        <v>美国</v>
      </c>
      <c r="V15" s="272"/>
      <c r="W15" s="273"/>
      <c r="X15" s="274" t="s">
        <v>50</v>
      </c>
      <c r="Y15" s="275"/>
      <c r="Z15" s="276"/>
      <c r="AA15" s="276"/>
      <c r="AB15" s="276" t="s">
        <v>1</v>
      </c>
      <c r="AC15" s="277">
        <v>997.35</v>
      </c>
      <c r="AD15" s="278">
        <v>866.81</v>
      </c>
      <c r="AE15" s="278">
        <v>61</v>
      </c>
    </row>
    <row r="16" ht="50" customHeight="1" spans="1:31">
      <c r="A16" s="265">
        <v>2</v>
      </c>
      <c r="B16" s="266"/>
      <c r="C16" s="266"/>
      <c r="D16" s="266"/>
      <c r="E16" s="267"/>
      <c r="F16" s="268"/>
      <c r="G16" s="268"/>
      <c r="H16" s="268"/>
      <c r="I16" s="268"/>
      <c r="J16" s="268"/>
      <c r="K16" s="268"/>
      <c r="L16" s="269"/>
      <c r="M16" s="270"/>
      <c r="N16" s="269"/>
      <c r="O16" s="269"/>
      <c r="P16" s="271"/>
      <c r="Q16" s="269"/>
      <c r="R16" s="269"/>
      <c r="S16" s="270"/>
      <c r="T16" s="270"/>
      <c r="U16" s="272"/>
      <c r="V16" s="272"/>
      <c r="W16" s="273"/>
      <c r="X16" s="274"/>
      <c r="Y16" s="275"/>
      <c r="Z16" s="276"/>
      <c r="AA16" s="276"/>
      <c r="AB16" s="276"/>
      <c r="AC16" s="277"/>
      <c r="AD16" s="278"/>
      <c r="AE16" s="278"/>
    </row>
    <row r="17" ht="21" customHeight="1" spans="1:28">
      <c r="A17" s="279" t="s">
        <v>51</v>
      </c>
      <c r="B17" s="180" t="s">
        <v>1</v>
      </c>
      <c r="C17" s="179"/>
      <c r="D17" s="179"/>
      <c r="E17" s="179"/>
      <c r="F17" s="179" t="s">
        <v>1</v>
      </c>
      <c r="G17" s="179"/>
      <c r="H17" s="179" t="s">
        <v>1</v>
      </c>
      <c r="I17" s="179"/>
      <c r="J17" s="179" t="s">
        <v>1</v>
      </c>
      <c r="K17" s="179" t="s">
        <v>1</v>
      </c>
      <c r="L17" s="179"/>
      <c r="M17" s="180"/>
      <c r="N17" s="179"/>
      <c r="O17" s="179" t="s">
        <v>1</v>
      </c>
      <c r="P17" s="179"/>
      <c r="Q17" s="179"/>
      <c r="R17" s="179" t="s">
        <v>1</v>
      </c>
      <c r="S17" s="179" t="s">
        <v>1</v>
      </c>
      <c r="T17" s="179"/>
      <c r="U17" s="179" t="s">
        <v>1</v>
      </c>
      <c r="V17" s="179"/>
      <c r="W17" s="179" t="s">
        <v>1</v>
      </c>
      <c r="X17" s="179"/>
      <c r="Y17" s="179"/>
      <c r="Z17" s="179"/>
      <c r="AA17" s="179"/>
      <c r="AB17" s="179"/>
    </row>
    <row r="18" ht="29" customHeight="1" spans="1:28">
      <c r="A18" s="280" t="s">
        <v>52</v>
      </c>
      <c r="B18" s="281" t="s">
        <v>1</v>
      </c>
      <c r="C18" s="280" t="s">
        <v>53</v>
      </c>
      <c r="D18" s="281"/>
      <c r="E18" s="280" t="s">
        <v>54</v>
      </c>
      <c r="F18" s="281" t="s">
        <v>1</v>
      </c>
      <c r="G18" s="280" t="s">
        <v>55</v>
      </c>
      <c r="H18" s="281" t="s">
        <v>1</v>
      </c>
      <c r="I18" s="280" t="s">
        <v>56</v>
      </c>
      <c r="J18" s="281" t="s">
        <v>1</v>
      </c>
      <c r="K18" s="281" t="s">
        <v>1</v>
      </c>
      <c r="L18" s="280" t="s">
        <v>57</v>
      </c>
      <c r="M18" s="280" t="s">
        <v>58</v>
      </c>
      <c r="N18" s="281"/>
      <c r="O18" s="281" t="s">
        <v>1</v>
      </c>
      <c r="P18" s="280" t="s">
        <v>59</v>
      </c>
      <c r="Q18" s="281"/>
      <c r="R18" s="281" t="s">
        <v>1</v>
      </c>
      <c r="S18" s="281" t="s">
        <v>1</v>
      </c>
      <c r="T18" s="280" t="s">
        <v>60</v>
      </c>
      <c r="U18" s="281" t="s">
        <v>1</v>
      </c>
      <c r="V18" s="281"/>
      <c r="W18" s="281" t="s">
        <v>1</v>
      </c>
      <c r="X18" s="281"/>
      <c r="Y18" s="281"/>
      <c r="Z18" s="281"/>
      <c r="AA18" s="281"/>
      <c r="AB18" s="179"/>
    </row>
    <row r="19" s="175" customFormat="1" ht="36" customHeight="1" spans="1:28">
      <c r="A19" s="282">
        <v>1</v>
      </c>
      <c r="B19" s="282">
        <v>1</v>
      </c>
      <c r="C19" s="283" t="s">
        <v>61</v>
      </c>
      <c r="D19" s="283"/>
      <c r="E19" s="284">
        <v>6302539090</v>
      </c>
      <c r="F19" s="284">
        <v>4202129000</v>
      </c>
      <c r="G19" s="285"/>
      <c r="H19" s="285" t="s">
        <v>1</v>
      </c>
      <c r="I19" s="283" t="s">
        <v>62</v>
      </c>
      <c r="J19" s="283"/>
      <c r="K19" s="283"/>
      <c r="L19" s="283" t="s">
        <v>62</v>
      </c>
      <c r="M19" s="283" t="s">
        <v>62</v>
      </c>
      <c r="N19" s="283"/>
      <c r="O19" s="283"/>
      <c r="P19" s="286" t="s">
        <v>63</v>
      </c>
      <c r="Q19" s="283"/>
      <c r="R19" s="283" t="s">
        <v>1</v>
      </c>
      <c r="S19" s="283" t="s">
        <v>1</v>
      </c>
      <c r="T19" s="283" t="s">
        <v>64</v>
      </c>
      <c r="U19" s="283" t="s">
        <v>1</v>
      </c>
      <c r="V19" s="283"/>
      <c r="W19" s="283" t="s">
        <v>1</v>
      </c>
      <c r="X19" s="283"/>
      <c r="Y19" s="283"/>
      <c r="Z19" s="283"/>
      <c r="AA19" s="283"/>
      <c r="AB19" s="179"/>
    </row>
    <row r="20" ht="32" customHeight="1" spans="1:28">
      <c r="A20" s="282">
        <v>2</v>
      </c>
      <c r="B20" s="282"/>
      <c r="C20" s="283"/>
      <c r="D20" s="283"/>
      <c r="E20" s="284"/>
      <c r="F20" s="284"/>
      <c r="G20" s="285"/>
      <c r="H20" s="285"/>
      <c r="I20" s="283"/>
      <c r="J20" s="283"/>
      <c r="K20" s="283"/>
      <c r="L20" s="283"/>
      <c r="M20" s="283"/>
      <c r="N20" s="283"/>
      <c r="O20" s="283"/>
      <c r="P20" s="286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83"/>
      <c r="AB20" s="179"/>
    </row>
    <row r="21" ht="32" customHeight="1" spans="1:28">
      <c r="A21" s="282">
        <v>3</v>
      </c>
      <c r="B21" s="282"/>
      <c r="C21" s="283"/>
      <c r="D21" s="283"/>
      <c r="E21" s="284"/>
      <c r="F21" s="284"/>
      <c r="G21" s="285"/>
      <c r="H21" s="285"/>
      <c r="I21" s="283"/>
      <c r="J21" s="283"/>
      <c r="K21" s="283"/>
      <c r="L21" s="283"/>
      <c r="M21" s="283"/>
      <c r="N21" s="283"/>
      <c r="O21" s="283"/>
      <c r="P21" s="286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83"/>
      <c r="AB21" s="179"/>
    </row>
  </sheetData>
  <mergeCells count="111">
    <mergeCell ref="A1:AB1"/>
    <mergeCell ref="A2:C2"/>
    <mergeCell ref="D2:K2"/>
    <mergeCell ref="L2:M2"/>
    <mergeCell ref="N2:S2"/>
    <mergeCell ref="T2:U2"/>
    <mergeCell ref="V2:AB2"/>
    <mergeCell ref="A3:H3"/>
    <mergeCell ref="I3:M3"/>
    <mergeCell ref="N3:U3"/>
    <mergeCell ref="V3:Y3"/>
    <mergeCell ref="Z3:AB3"/>
    <mergeCell ref="A4:H4"/>
    <mergeCell ref="I4:M4"/>
    <mergeCell ref="N4:U4"/>
    <mergeCell ref="V4:Y4"/>
    <mergeCell ref="Z4:AB4"/>
    <mergeCell ref="A5:H5"/>
    <mergeCell ref="I5:M5"/>
    <mergeCell ref="N5:U5"/>
    <mergeCell ref="V5:Y5"/>
    <mergeCell ref="Z5:AB5"/>
    <mergeCell ref="A6:H6"/>
    <mergeCell ref="I6:M6"/>
    <mergeCell ref="N6:U6"/>
    <mergeCell ref="V6:Y6"/>
    <mergeCell ref="Z6:AB6"/>
    <mergeCell ref="A7:H7"/>
    <mergeCell ref="I7:M7"/>
    <mergeCell ref="N7:U7"/>
    <mergeCell ref="V7:Y7"/>
    <mergeCell ref="Z7:AB7"/>
    <mergeCell ref="A8:H8"/>
    <mergeCell ref="I8:M8"/>
    <mergeCell ref="N8:U8"/>
    <mergeCell ref="V8:Y8"/>
    <mergeCell ref="Z8:AB8"/>
    <mergeCell ref="A9:H9"/>
    <mergeCell ref="I9:K9"/>
    <mergeCell ref="L9:M9"/>
    <mergeCell ref="N9:S9"/>
    <mergeCell ref="T9:U9"/>
    <mergeCell ref="V9:X9"/>
    <mergeCell ref="Y9:Z9"/>
    <mergeCell ref="AA9:AB9"/>
    <mergeCell ref="A10:H10"/>
    <mergeCell ref="I10:K10"/>
    <mergeCell ref="L10:M10"/>
    <mergeCell ref="N10:S10"/>
    <mergeCell ref="T10:U10"/>
    <mergeCell ref="V10:X10"/>
    <mergeCell ref="Y10:Z10"/>
    <mergeCell ref="AA10:AB10"/>
    <mergeCell ref="A11:AB11"/>
    <mergeCell ref="A12:AB12"/>
    <mergeCell ref="A13:C13"/>
    <mergeCell ref="E13:H13"/>
    <mergeCell ref="I13:K13"/>
    <mergeCell ref="L13:P13"/>
    <mergeCell ref="Q13:S13"/>
    <mergeCell ref="T13:W13"/>
    <mergeCell ref="X13:AB13"/>
    <mergeCell ref="A14:AB14"/>
    <mergeCell ref="B15:D15"/>
    <mergeCell ref="E15:K15"/>
    <mergeCell ref="N15:O15"/>
    <mergeCell ref="Q15:R15"/>
    <mergeCell ref="S15:T15"/>
    <mergeCell ref="U15:W15"/>
    <mergeCell ref="X15:Y15"/>
    <mergeCell ref="B16:D16"/>
    <mergeCell ref="E16:K16"/>
    <mergeCell ref="N16:O16"/>
    <mergeCell ref="Q16:R16"/>
    <mergeCell ref="S16:T16"/>
    <mergeCell ref="U16:W16"/>
    <mergeCell ref="X16:Y16"/>
    <mergeCell ref="A17:AB17"/>
    <mergeCell ref="A18:B18"/>
    <mergeCell ref="C18:D18"/>
    <mergeCell ref="E18:F18"/>
    <mergeCell ref="G18:H18"/>
    <mergeCell ref="I18:K18"/>
    <mergeCell ref="M18:O18"/>
    <mergeCell ref="P18:S18"/>
    <mergeCell ref="T18:AA18"/>
    <mergeCell ref="A19:B19"/>
    <mergeCell ref="C19:D19"/>
    <mergeCell ref="E19:F19"/>
    <mergeCell ref="G19:H19"/>
    <mergeCell ref="I19:K19"/>
    <mergeCell ref="M19:O19"/>
    <mergeCell ref="P19:S19"/>
    <mergeCell ref="T19:AA19"/>
    <mergeCell ref="A20:B20"/>
    <mergeCell ref="C20:D20"/>
    <mergeCell ref="E20:F20"/>
    <mergeCell ref="G20:H20"/>
    <mergeCell ref="I20:K20"/>
    <mergeCell ref="M20:O20"/>
    <mergeCell ref="P20:S20"/>
    <mergeCell ref="T20:AA20"/>
    <mergeCell ref="A21:B21"/>
    <mergeCell ref="C21:D21"/>
    <mergeCell ref="E21:F21"/>
    <mergeCell ref="G21:H21"/>
    <mergeCell ref="I21:K21"/>
    <mergeCell ref="M21:O21"/>
    <mergeCell ref="P21:S21"/>
    <mergeCell ref="T21:AA21"/>
    <mergeCell ref="AB18:AB2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7"/>
  <sheetViews>
    <sheetView workbookViewId="0">
      <selection activeCell="E5" sqref="E5:M6"/>
    </sheetView>
  </sheetViews>
  <sheetFormatPr defaultColWidth="10.2833333333333" defaultRowHeight="14.25"/>
  <cols>
    <col min="1" max="1" width="7.55833333333333" customWidth="1"/>
    <col min="2" max="2" width="3.675" customWidth="1"/>
    <col min="3" max="3" width="7.2" customWidth="1"/>
    <col min="4" max="4" width="11" customWidth="1"/>
    <col min="5" max="5" width="1.53333333333333" customWidth="1"/>
    <col min="6" max="6" width="10.675" customWidth="1"/>
    <col min="7" max="7" width="3.21666666666667" customWidth="1"/>
    <col min="8" max="8" width="3.80833333333333" customWidth="1"/>
    <col min="9" max="9" width="6.475" customWidth="1"/>
    <col min="10" max="10" width="5.30833333333333" customWidth="1"/>
    <col min="11" max="11" width="1.56666666666667" customWidth="1"/>
    <col min="12" max="12" width="9" customWidth="1"/>
    <col min="13" max="13" width="7.375" customWidth="1"/>
    <col min="14" max="14" width="3.05833333333333" customWidth="1"/>
    <col min="15" max="15" width="6.125" customWidth="1"/>
    <col min="16" max="16" width="3.28333333333333" customWidth="1"/>
    <col min="17" max="17" width="4.51666666666667" customWidth="1"/>
    <col min="18" max="18" width="1.05833333333333" customWidth="1"/>
    <col min="19" max="19" width="2.99166666666667" customWidth="1"/>
    <col min="20" max="20" width="2.74166666666667" customWidth="1"/>
    <col min="21" max="21" width="12.4416666666667" customWidth="1"/>
    <col min="22" max="22" width="2.83333333333333" customWidth="1"/>
    <col min="23" max="23" width="4.075" customWidth="1"/>
    <col min="24" max="24" width="3.425" customWidth="1"/>
    <col min="25" max="25" width="10.4" customWidth="1"/>
    <col min="26" max="26" width="5" customWidth="1"/>
    <col min="27" max="27" width="11.1083333333333" customWidth="1"/>
    <col min="28" max="28" width="16.5666666666667" customWidth="1"/>
    <col min="29" max="29" width="5.375" customWidth="1"/>
  </cols>
  <sheetData>
    <row r="1" s="142" customFormat="1" ht="33" customHeight="1" spans="1:29">
      <c r="A1" s="143" t="s">
        <v>65</v>
      </c>
      <c r="B1" s="144"/>
      <c r="C1" s="144"/>
      <c r="D1" s="144"/>
      <c r="E1" s="144"/>
      <c r="F1" s="144"/>
      <c r="G1" s="144"/>
      <c r="H1" s="144"/>
      <c r="I1" s="144"/>
      <c r="J1" s="145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6"/>
      <c r="Z1" s="146"/>
      <c r="AA1" s="146"/>
      <c r="AB1" s="146"/>
      <c r="AC1" s="146"/>
    </row>
    <row r="2" ht="28.5" customHeight="1" spans="1:29">
      <c r="A2" s="13" t="s">
        <v>66</v>
      </c>
      <c r="B2" s="13"/>
      <c r="C2" s="13"/>
      <c r="D2" s="13"/>
      <c r="E2" s="13"/>
      <c r="F2" s="13"/>
      <c r="G2" s="13"/>
      <c r="H2" s="13"/>
      <c r="I2" s="13"/>
      <c r="J2" s="14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47"/>
      <c r="Y2" s="3"/>
      <c r="Z2" s="3"/>
      <c r="AA2" s="3"/>
      <c r="AB2" s="3"/>
      <c r="AC2" s="3"/>
    </row>
    <row r="3" ht="13.65" customHeight="1" spans="1:29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 t="s">
        <v>67</v>
      </c>
      <c r="O3" s="4"/>
      <c r="P3" s="4"/>
      <c r="Q3" s="4"/>
      <c r="R3" s="4"/>
      <c r="S3" s="148" t="str">
        <f>报关单!A8</f>
        <v>EF-C26037-AVP1</v>
      </c>
      <c r="T3" s="148"/>
      <c r="U3" s="148"/>
      <c r="V3" s="148"/>
      <c r="W3" s="148"/>
      <c r="X3" s="148"/>
      <c r="Y3" s="3"/>
      <c r="Z3" s="3"/>
      <c r="AA3" s="3"/>
      <c r="AB3" s="3"/>
      <c r="AC3" s="3"/>
    </row>
    <row r="4" ht="13.5" customHeight="1" spans="1:29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0" t="s">
        <v>68</v>
      </c>
      <c r="O4" s="4"/>
      <c r="P4" s="4"/>
      <c r="Q4" s="4"/>
      <c r="R4" s="4"/>
      <c r="S4" s="148"/>
      <c r="T4" s="148"/>
      <c r="U4" s="148"/>
      <c r="V4" s="148"/>
      <c r="W4" s="148"/>
      <c r="X4" s="148"/>
      <c r="Y4" s="3"/>
      <c r="Z4" s="3"/>
      <c r="AA4" s="3"/>
      <c r="AB4" s="3"/>
      <c r="AC4" s="3"/>
    </row>
    <row r="5" ht="21" customHeight="1" spans="1:29">
      <c r="A5" s="5" t="s">
        <v>69</v>
      </c>
      <c r="B5" s="5"/>
      <c r="C5" s="4"/>
      <c r="D5" s="4"/>
      <c r="E5" s="149" t="s">
        <v>70</v>
      </c>
      <c r="F5" s="150"/>
      <c r="G5" s="150"/>
      <c r="H5" s="150"/>
      <c r="I5" s="150"/>
      <c r="J5" s="150"/>
      <c r="K5" s="150"/>
      <c r="L5" s="150"/>
      <c r="M5" s="150"/>
      <c r="N5" s="5" t="s">
        <v>71</v>
      </c>
      <c r="O5" s="4"/>
      <c r="P5" s="4"/>
      <c r="Q5" s="4"/>
      <c r="R5" s="4"/>
      <c r="S5" s="151">
        <f>报关单!V4</f>
        <v>46160</v>
      </c>
      <c r="T5" s="151"/>
      <c r="U5" s="151"/>
      <c r="V5" s="151"/>
      <c r="W5" s="151"/>
      <c r="X5" s="151"/>
      <c r="Y5" s="63"/>
      <c r="Z5" s="63"/>
      <c r="AA5" s="63"/>
      <c r="AB5" s="63"/>
      <c r="AC5" s="63"/>
    </row>
    <row r="6" ht="6.2" customHeight="1" spans="1:29">
      <c r="A6" s="4" t="s">
        <v>72</v>
      </c>
      <c r="B6" s="4"/>
      <c r="C6" s="4"/>
      <c r="D6" s="4"/>
      <c r="E6" s="150"/>
      <c r="F6" s="150"/>
      <c r="G6" s="150"/>
      <c r="H6" s="150"/>
      <c r="I6" s="150"/>
      <c r="J6" s="150"/>
      <c r="K6" s="150"/>
      <c r="L6" s="150"/>
      <c r="M6" s="150"/>
      <c r="N6" s="4" t="s">
        <v>73</v>
      </c>
      <c r="O6" s="4"/>
      <c r="P6" s="4"/>
      <c r="Q6" s="9"/>
      <c r="R6" s="9"/>
      <c r="S6" s="9"/>
      <c r="T6" s="9"/>
      <c r="U6" s="9"/>
      <c r="V6" s="9"/>
      <c r="W6" s="9"/>
      <c r="X6" s="9"/>
      <c r="Y6" s="3"/>
      <c r="Z6" s="3"/>
      <c r="AA6" s="3"/>
      <c r="AB6" s="3"/>
      <c r="AC6" s="3"/>
    </row>
    <row r="7" ht="18.55" customHeight="1" spans="1:29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152"/>
      <c r="R7" s="152"/>
      <c r="S7" s="152"/>
      <c r="T7" s="152"/>
      <c r="U7" s="152"/>
      <c r="V7" s="152"/>
      <c r="W7" s="152"/>
      <c r="X7" s="152"/>
    </row>
    <row r="8" ht="24.95" customHeight="1" spans="1:2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50" t="s">
        <v>74</v>
      </c>
      <c r="P8" s="50"/>
      <c r="Q8" s="4"/>
      <c r="R8" s="4"/>
      <c r="S8" s="50" t="s">
        <v>75</v>
      </c>
      <c r="T8" s="50"/>
      <c r="U8" s="50"/>
      <c r="V8" s="50"/>
      <c r="W8" s="50"/>
      <c r="X8" s="50"/>
      <c r="Y8" s="63"/>
      <c r="Z8" s="63"/>
      <c r="AA8" s="63"/>
      <c r="AB8" s="63"/>
      <c r="AC8" s="63"/>
    </row>
    <row r="9" ht="31.2" customHeight="1" spans="1:29">
      <c r="A9" s="17" t="s">
        <v>76</v>
      </c>
      <c r="B9" s="17"/>
      <c r="C9" s="17"/>
      <c r="D9" s="17"/>
      <c r="E9" s="17" t="s">
        <v>77</v>
      </c>
      <c r="F9" s="17"/>
      <c r="G9" s="17"/>
      <c r="H9" s="17"/>
      <c r="I9" s="17"/>
      <c r="J9" s="17"/>
      <c r="K9" s="17"/>
      <c r="L9" s="153" t="s">
        <v>78</v>
      </c>
      <c r="M9" s="50"/>
      <c r="N9" s="17" t="s">
        <v>79</v>
      </c>
      <c r="O9" s="17"/>
      <c r="P9" s="17"/>
      <c r="Q9" s="17"/>
      <c r="R9" s="17"/>
      <c r="S9" s="17" t="s">
        <v>80</v>
      </c>
      <c r="T9" s="17"/>
      <c r="U9" s="17"/>
      <c r="V9" s="17"/>
      <c r="W9" s="17"/>
      <c r="X9" s="147"/>
      <c r="Y9" s="3"/>
      <c r="Z9" s="3"/>
      <c r="AA9" s="3"/>
      <c r="AB9" s="3"/>
      <c r="AC9" s="3"/>
    </row>
    <row r="10" ht="62" customHeight="1" spans="1:29">
      <c r="A10" s="154" t="s">
        <v>81</v>
      </c>
      <c r="B10" s="154"/>
      <c r="C10" s="154"/>
      <c r="D10" s="154"/>
      <c r="E10" s="154" t="str">
        <f>报关单!C19</f>
        <v>纺织产品桌布</v>
      </c>
      <c r="F10" s="154"/>
      <c r="G10" s="154"/>
      <c r="H10" s="154"/>
      <c r="I10" s="154"/>
      <c r="J10" s="154"/>
      <c r="K10" s="154"/>
      <c r="L10" s="155">
        <f>报关单!L15</f>
        <v>2440</v>
      </c>
      <c r="M10" s="154" t="str">
        <f>报关单!M15</f>
        <v>件</v>
      </c>
      <c r="N10" s="155">
        <f>报关单!N15</f>
        <v>1.55</v>
      </c>
      <c r="O10" s="154"/>
      <c r="P10" s="154"/>
      <c r="Q10" s="154"/>
      <c r="R10" s="154"/>
      <c r="S10" s="156">
        <f>报关单!P15</f>
        <v>3782</v>
      </c>
      <c r="T10" s="157"/>
      <c r="U10" s="158"/>
      <c r="V10" s="159"/>
      <c r="W10" s="26"/>
      <c r="X10" s="4"/>
      <c r="Y10" s="65"/>
      <c r="Z10" s="65"/>
      <c r="AA10" s="65"/>
      <c r="AB10" s="65"/>
      <c r="AC10" s="65"/>
    </row>
    <row r="11" ht="66" customHeight="1" spans="1:29">
      <c r="A11" s="160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61"/>
      <c r="M11" s="162"/>
      <c r="N11" s="163"/>
      <c r="O11" s="13"/>
      <c r="P11" s="13"/>
      <c r="Q11" s="13"/>
      <c r="R11" s="13"/>
      <c r="S11" s="164"/>
      <c r="T11" s="56"/>
      <c r="U11" s="26"/>
      <c r="V11" s="159"/>
      <c r="W11" s="26"/>
      <c r="X11" s="4"/>
      <c r="Y11" s="65"/>
      <c r="Z11" s="65"/>
      <c r="AA11" s="65"/>
      <c r="AB11" s="65"/>
      <c r="AC11" s="65"/>
    </row>
    <row r="12" ht="71" customHeight="1" spans="1:29">
      <c r="A12" s="160">
        <v>0</v>
      </c>
      <c r="B12" s="13"/>
      <c r="C12" s="13"/>
      <c r="D12" s="13"/>
      <c r="E12" s="13">
        <f>报关单!C20</f>
        <v>0</v>
      </c>
      <c r="F12" s="13"/>
      <c r="G12" s="13"/>
      <c r="H12" s="13"/>
      <c r="I12" s="13"/>
      <c r="J12" s="13"/>
      <c r="K12" s="13"/>
      <c r="L12" s="161">
        <f>报关单!L16</f>
        <v>0</v>
      </c>
      <c r="M12" s="162">
        <f>报关单!M16</f>
        <v>0</v>
      </c>
      <c r="N12" s="163">
        <f>报关单!N16</f>
        <v>0</v>
      </c>
      <c r="O12" s="13"/>
      <c r="P12" s="13"/>
      <c r="Q12" s="13"/>
      <c r="R12" s="13"/>
      <c r="S12" s="164">
        <f>报关单!P16</f>
        <v>0</v>
      </c>
      <c r="T12" s="56"/>
      <c r="U12" s="26"/>
      <c r="V12" s="159"/>
      <c r="W12" s="26"/>
      <c r="X12" s="4"/>
      <c r="Y12" s="65"/>
      <c r="Z12" s="65"/>
      <c r="AA12" s="65"/>
      <c r="AB12" s="65"/>
      <c r="AC12" s="65"/>
    </row>
    <row r="13" ht="46" customHeight="1" spans="1:29">
      <c r="A13" s="160">
        <v>0</v>
      </c>
      <c r="B13" s="13"/>
      <c r="C13" s="13"/>
      <c r="D13" s="13"/>
      <c r="E13" s="13">
        <f>报关单!C21</f>
        <v>0</v>
      </c>
      <c r="F13" s="13"/>
      <c r="G13" s="13"/>
      <c r="H13" s="13"/>
      <c r="I13" s="13"/>
      <c r="J13" s="13"/>
      <c r="K13" s="13"/>
      <c r="L13" s="161" t="e">
        <f>报关单!#REF!</f>
        <v>#REF!</v>
      </c>
      <c r="M13" s="162" t="e">
        <f>报关单!#REF!</f>
        <v>#REF!</v>
      </c>
      <c r="N13" s="163" t="e">
        <f>报关单!#REF!</f>
        <v>#REF!</v>
      </c>
      <c r="O13" s="13"/>
      <c r="P13" s="13"/>
      <c r="Q13" s="13"/>
      <c r="R13" s="13"/>
      <c r="S13" s="164" t="e">
        <f>报关单!#REF!</f>
        <v>#REF!</v>
      </c>
      <c r="T13" s="56"/>
      <c r="U13" s="26"/>
      <c r="V13" s="159"/>
      <c r="W13" s="26"/>
      <c r="X13" s="4"/>
      <c r="Y13" s="65"/>
      <c r="Z13" s="65"/>
      <c r="AA13" s="65"/>
      <c r="AB13" s="65"/>
      <c r="AC13" s="65"/>
    </row>
    <row r="14" ht="39" customHeight="1" spans="1:29">
      <c r="A14" s="4"/>
      <c r="B14" s="4"/>
      <c r="C14" s="4"/>
      <c r="D14" s="4"/>
      <c r="E14" s="4"/>
      <c r="F14" s="4"/>
      <c r="G14" s="165" t="s">
        <v>82</v>
      </c>
      <c r="H14" s="165"/>
      <c r="I14" s="165"/>
      <c r="J14" s="165"/>
      <c r="K14" s="165"/>
      <c r="L14" s="165" t="e">
        <f>SUM(L10:L13)</f>
        <v>#REF!</v>
      </c>
      <c r="M14" s="166"/>
      <c r="N14" s="167" t="s">
        <v>83</v>
      </c>
      <c r="O14" s="167"/>
      <c r="P14" s="167"/>
      <c r="Q14" s="167"/>
      <c r="R14" s="167"/>
      <c r="S14" s="167" t="e">
        <f>SUM(S10:U13)</f>
        <v>#REF!</v>
      </c>
      <c r="T14" s="167"/>
      <c r="U14" s="167"/>
      <c r="V14" s="77" t="s">
        <v>48</v>
      </c>
      <c r="W14" s="79"/>
      <c r="X14" s="147"/>
      <c r="Y14" s="3"/>
      <c r="Z14" s="3"/>
      <c r="AA14" s="3"/>
      <c r="AB14" s="3"/>
      <c r="AC14" s="3"/>
    </row>
    <row r="15" ht="18.75" customHeight="1" spans="1:29">
      <c r="A15" s="147" t="s">
        <v>84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4" t="s">
        <v>85</v>
      </c>
      <c r="O15" s="4"/>
      <c r="P15" s="4"/>
      <c r="Q15" s="9"/>
      <c r="R15" s="9"/>
      <c r="S15" s="9"/>
      <c r="T15" s="9"/>
      <c r="U15" s="9"/>
      <c r="V15" s="9"/>
      <c r="W15" s="9"/>
      <c r="X15" s="147"/>
      <c r="Y15" s="3"/>
      <c r="Z15" s="3"/>
      <c r="AA15" s="3"/>
      <c r="AB15" s="3"/>
      <c r="AC15" s="3"/>
    </row>
    <row r="16" ht="18.75" customHeight="1" spans="1:29">
      <c r="A16" s="168" t="s">
        <v>86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69"/>
      <c r="O16" s="170"/>
      <c r="P16" s="170"/>
      <c r="Q16" s="170"/>
      <c r="R16" s="170"/>
      <c r="S16" s="170"/>
      <c r="T16" s="170"/>
      <c r="U16" s="170"/>
      <c r="V16" s="170"/>
      <c r="W16" s="170"/>
      <c r="X16" s="171"/>
      <c r="Y16" s="63"/>
      <c r="Z16" s="63"/>
      <c r="AA16" s="63"/>
      <c r="AB16" s="63"/>
      <c r="AC16" s="63"/>
    </row>
    <row r="17" spans="1:24">
      <c r="A17" s="172"/>
      <c r="B17" s="173"/>
      <c r="C17" s="173"/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4"/>
    </row>
  </sheetData>
  <mergeCells count="54">
    <mergeCell ref="A1:X1"/>
    <mergeCell ref="A2:W2"/>
    <mergeCell ref="N3:P3"/>
    <mergeCell ref="N4:P4"/>
    <mergeCell ref="A5:D5"/>
    <mergeCell ref="N5:R5"/>
    <mergeCell ref="S5:X5"/>
    <mergeCell ref="E7:M7"/>
    <mergeCell ref="A8:N8"/>
    <mergeCell ref="O8:R8"/>
    <mergeCell ref="S8:X8"/>
    <mergeCell ref="A9:D9"/>
    <mergeCell ref="E9:K9"/>
    <mergeCell ref="L9:M9"/>
    <mergeCell ref="N9:R9"/>
    <mergeCell ref="S9:W9"/>
    <mergeCell ref="A10:D10"/>
    <mergeCell ref="E10:K10"/>
    <mergeCell ref="N10:R10"/>
    <mergeCell ref="S10:U10"/>
    <mergeCell ref="V10:W10"/>
    <mergeCell ref="A11:D11"/>
    <mergeCell ref="E11:K11"/>
    <mergeCell ref="N11:R11"/>
    <mergeCell ref="S11:U11"/>
    <mergeCell ref="V11:W11"/>
    <mergeCell ref="A12:D12"/>
    <mergeCell ref="E12:K12"/>
    <mergeCell ref="N12:R12"/>
    <mergeCell ref="S12:U12"/>
    <mergeCell ref="V12:W12"/>
    <mergeCell ref="A13:D13"/>
    <mergeCell ref="E13:K13"/>
    <mergeCell ref="N13:R13"/>
    <mergeCell ref="S13:U13"/>
    <mergeCell ref="V13:W13"/>
    <mergeCell ref="A14:F14"/>
    <mergeCell ref="G14:K14"/>
    <mergeCell ref="N14:R14"/>
    <mergeCell ref="S14:U14"/>
    <mergeCell ref="V14:W14"/>
    <mergeCell ref="B15:M15"/>
    <mergeCell ref="N15:P15"/>
    <mergeCell ref="Q15:W15"/>
    <mergeCell ref="B16:M16"/>
    <mergeCell ref="N16:X16"/>
    <mergeCell ref="A17:X17"/>
    <mergeCell ref="A3:M4"/>
    <mergeCell ref="Q3:R4"/>
    <mergeCell ref="A6:D7"/>
    <mergeCell ref="N6:P7"/>
    <mergeCell ref="S3:X4"/>
    <mergeCell ref="Q6:X7"/>
    <mergeCell ref="E5:M6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8"/>
  <sheetViews>
    <sheetView topLeftCell="A2" workbookViewId="0">
      <selection activeCell="D6" sqref="D6:K7"/>
    </sheetView>
  </sheetViews>
  <sheetFormatPr defaultColWidth="10.2833333333333" defaultRowHeight="14.25"/>
  <cols>
    <col min="1" max="1" width="7.55833333333333" customWidth="1"/>
    <col min="2" max="2" width="3.675" customWidth="1"/>
    <col min="3" max="3" width="17" customWidth="1"/>
    <col min="4" max="4" width="4.83333333333333" customWidth="1"/>
    <col min="5" max="5" width="1.53333333333333" customWidth="1"/>
    <col min="6" max="6" width="10.675" customWidth="1"/>
    <col min="7" max="7" width="3.21666666666667" customWidth="1"/>
    <col min="8" max="8" width="3.80833333333333" customWidth="1"/>
    <col min="9" max="9" width="6.475" customWidth="1"/>
    <col min="10" max="10" width="5.30833333333333" customWidth="1"/>
    <col min="11" max="11" width="1.56666666666667" customWidth="1"/>
    <col min="12" max="12" width="4.88333333333333" customWidth="1"/>
    <col min="13" max="13" width="10.425" customWidth="1"/>
    <col min="14" max="14" width="4.125" customWidth="1"/>
    <col min="15" max="15" width="6.125" customWidth="1"/>
    <col min="16" max="16" width="3.28333333333333" customWidth="1"/>
    <col min="17" max="17" width="4.51666666666667" customWidth="1"/>
    <col min="18" max="18" width="1.05833333333333" customWidth="1"/>
    <col min="19" max="19" width="2.99166666666667" customWidth="1"/>
    <col min="20" max="20" width="2.74166666666667" customWidth="1"/>
    <col min="21" max="21" width="12.4416666666667" customWidth="1"/>
    <col min="22" max="22" width="2.83333333333333" customWidth="1"/>
    <col min="23" max="23" width="4.075" customWidth="1"/>
    <col min="24" max="24" width="3.425" customWidth="1"/>
    <col min="25" max="25" width="10.4" customWidth="1"/>
    <col min="26" max="26" width="5" customWidth="1"/>
    <col min="27" max="27" width="11.1083333333333" customWidth="1"/>
    <col min="28" max="28" width="16.5666666666667" customWidth="1"/>
    <col min="29" max="29" width="5.375" customWidth="1"/>
  </cols>
  <sheetData>
    <row r="1" ht="27" customHeight="1" spans="1:29">
      <c r="A1" s="65"/>
      <c r="B1" s="65"/>
      <c r="C1" s="65"/>
      <c r="D1" s="65"/>
      <c r="E1" s="65"/>
      <c r="F1" s="65"/>
      <c r="G1" s="65" t="s">
        <v>87</v>
      </c>
      <c r="H1" s="65"/>
      <c r="I1" s="65"/>
      <c r="J1" s="65"/>
      <c r="K1" s="65"/>
      <c r="L1" s="65"/>
      <c r="M1" s="65"/>
      <c r="N1" s="65"/>
      <c r="O1" s="104" t="s">
        <v>88</v>
      </c>
      <c r="P1" s="104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7.7" customHeight="1" spans="1:29">
      <c r="A2" s="65"/>
      <c r="B2" s="65"/>
      <c r="C2" s="65"/>
      <c r="D2" s="65"/>
      <c r="E2" s="65"/>
      <c r="F2" s="105" t="s">
        <v>89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106">
        <f>报关单!V4</f>
        <v>46160</v>
      </c>
      <c r="U2" s="65"/>
      <c r="V2" s="65"/>
      <c r="W2" s="3"/>
      <c r="X2" s="3"/>
      <c r="Y2" s="3"/>
      <c r="Z2" s="3"/>
      <c r="AA2" s="3"/>
      <c r="AB2" s="3"/>
      <c r="AC2" s="3"/>
    </row>
    <row r="3" ht="19.3" customHeight="1" spans="1:29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104" t="s">
        <v>90</v>
      </c>
      <c r="P3" s="104"/>
      <c r="Q3" s="65"/>
      <c r="R3" s="65"/>
      <c r="S3" s="65"/>
      <c r="T3" s="65"/>
      <c r="U3" s="65"/>
      <c r="V3" s="65"/>
      <c r="W3" s="3"/>
      <c r="X3" s="3"/>
      <c r="Y3" s="3"/>
      <c r="Z3" s="3"/>
      <c r="AA3" s="3"/>
      <c r="AB3" s="3"/>
      <c r="AC3" s="3"/>
    </row>
    <row r="4" ht="15" customHeight="1" spans="1:29">
      <c r="A4" s="65"/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 t="s">
        <v>91</v>
      </c>
      <c r="P4" s="65"/>
      <c r="Q4" s="65"/>
      <c r="R4" s="65"/>
      <c r="S4" s="65"/>
      <c r="T4" s="107" t="str">
        <f>报关单!A8</f>
        <v>EF-C26037-AVP1</v>
      </c>
      <c r="U4" s="65"/>
      <c r="V4" s="65"/>
      <c r="W4" s="65"/>
      <c r="X4" s="3"/>
      <c r="Y4" s="3"/>
      <c r="Z4" s="3"/>
      <c r="AA4" s="3"/>
      <c r="AB4" s="3"/>
      <c r="AC4" s="3"/>
    </row>
    <row r="5" ht="18.75" customHeight="1" spans="1:29">
      <c r="A5" s="65"/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104" t="s">
        <v>92</v>
      </c>
      <c r="P5" s="104"/>
      <c r="Q5" s="65"/>
      <c r="R5" s="65"/>
      <c r="S5" s="65"/>
      <c r="T5" s="65"/>
      <c r="U5" s="65"/>
      <c r="V5" s="65"/>
      <c r="W5" s="65"/>
      <c r="X5" s="3"/>
      <c r="Y5" s="3"/>
      <c r="Z5" s="3"/>
      <c r="AA5" s="3"/>
      <c r="AB5" s="3"/>
      <c r="AC5" s="3"/>
    </row>
    <row r="6" ht="15.4" customHeight="1" spans="1:29">
      <c r="A6" s="107" t="s">
        <v>93</v>
      </c>
      <c r="B6" s="65"/>
      <c r="C6" s="65"/>
      <c r="D6" s="108" t="s">
        <v>94</v>
      </c>
      <c r="E6" s="109"/>
      <c r="F6" s="109"/>
      <c r="G6" s="109"/>
      <c r="H6" s="109"/>
      <c r="I6" s="109"/>
      <c r="J6" s="109"/>
      <c r="K6" s="109"/>
      <c r="L6" s="65"/>
      <c r="M6" s="65"/>
      <c r="N6" s="65"/>
      <c r="O6" s="65" t="s">
        <v>95</v>
      </c>
      <c r="P6" s="65"/>
      <c r="Q6" s="65"/>
      <c r="R6" s="65"/>
      <c r="S6" s="65"/>
      <c r="T6" s="107" t="str">
        <f>报关单!A8</f>
        <v>EF-C26037-AVP1</v>
      </c>
      <c r="U6" s="65"/>
      <c r="V6" s="65"/>
      <c r="W6" s="65"/>
      <c r="X6" s="3"/>
      <c r="Y6" s="3"/>
      <c r="Z6" s="3"/>
      <c r="AA6" s="3"/>
      <c r="AB6" s="3"/>
      <c r="AC6" s="3"/>
    </row>
    <row r="7" ht="18.75" customHeight="1" spans="1:29">
      <c r="A7" s="104" t="s">
        <v>96</v>
      </c>
      <c r="B7" s="65"/>
      <c r="C7" s="65"/>
      <c r="D7" s="109"/>
      <c r="E7" s="109"/>
      <c r="F7" s="109"/>
      <c r="G7" s="109"/>
      <c r="H7" s="109"/>
      <c r="I7" s="109"/>
      <c r="J7" s="109"/>
      <c r="K7" s="109"/>
      <c r="L7" s="65"/>
      <c r="M7" s="65"/>
      <c r="N7" s="65"/>
      <c r="O7" s="107" t="s">
        <v>97</v>
      </c>
      <c r="P7" s="107"/>
      <c r="Q7" s="65"/>
      <c r="R7" s="65"/>
      <c r="S7" s="65"/>
      <c r="T7" s="65"/>
      <c r="U7" s="65"/>
      <c r="V7" s="65"/>
      <c r="W7" s="65"/>
      <c r="X7" s="3"/>
      <c r="Y7" s="3"/>
      <c r="Z7" s="3"/>
      <c r="AA7" s="3"/>
      <c r="AB7" s="3"/>
      <c r="AC7" s="3"/>
    </row>
    <row r="8" ht="30.7" customHeight="1" spans="1:29">
      <c r="A8" s="50" t="s">
        <v>98</v>
      </c>
      <c r="B8" s="4"/>
      <c r="C8" s="4"/>
      <c r="D8" s="4"/>
      <c r="E8" s="4"/>
      <c r="F8" s="4"/>
      <c r="G8" s="4"/>
      <c r="H8" s="4"/>
      <c r="I8" s="110" t="s">
        <v>99</v>
      </c>
      <c r="J8" s="111"/>
      <c r="K8" s="111"/>
      <c r="L8" s="112"/>
      <c r="M8" s="113" t="str">
        <f>报关单!I8</f>
        <v>美国</v>
      </c>
      <c r="N8" s="4"/>
      <c r="O8" s="104" t="s">
        <v>100</v>
      </c>
      <c r="P8" s="104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</row>
    <row r="9" ht="6.15" customHeight="1" spans="1:29">
      <c r="A9" s="5" t="s">
        <v>101</v>
      </c>
      <c r="B9" s="4"/>
      <c r="C9" s="4"/>
      <c r="D9" s="4"/>
      <c r="E9" s="4"/>
      <c r="F9" s="4"/>
      <c r="G9" s="4"/>
      <c r="H9" s="4"/>
      <c r="I9" s="114"/>
      <c r="J9" s="115"/>
      <c r="K9" s="115"/>
      <c r="L9" s="116"/>
      <c r="M9" s="117"/>
      <c r="N9" s="4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</row>
    <row r="10" ht="12.8" customHeight="1" spans="1:29">
      <c r="A10" s="118"/>
      <c r="B10" s="118"/>
      <c r="C10" s="118"/>
      <c r="D10" s="118"/>
      <c r="E10" s="118"/>
      <c r="F10" s="118"/>
      <c r="G10" s="118"/>
      <c r="H10" s="118"/>
      <c r="I10" s="119"/>
      <c r="J10" s="120"/>
      <c r="K10" s="120"/>
      <c r="L10" s="121"/>
      <c r="M10" s="122"/>
      <c r="N10" s="123"/>
      <c r="O10" s="65" t="s">
        <v>102</v>
      </c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</row>
    <row r="11" ht="31.2" customHeight="1" spans="1:29">
      <c r="A11" s="124" t="s">
        <v>103</v>
      </c>
      <c r="B11" s="124"/>
      <c r="C11" s="124"/>
      <c r="D11" s="124" t="s">
        <v>104</v>
      </c>
      <c r="E11" s="124"/>
      <c r="F11" s="124"/>
      <c r="G11" s="124"/>
      <c r="H11" s="124"/>
      <c r="I11" s="125" t="s">
        <v>105</v>
      </c>
      <c r="J11" s="125"/>
      <c r="K11" s="125"/>
      <c r="L11" s="124" t="s">
        <v>106</v>
      </c>
      <c r="M11" s="124"/>
      <c r="N11" s="124"/>
      <c r="O11" s="124" t="s">
        <v>107</v>
      </c>
      <c r="P11" s="124"/>
      <c r="Q11" s="124"/>
      <c r="R11" s="124"/>
      <c r="S11" s="124"/>
      <c r="T11" s="124" t="s">
        <v>108</v>
      </c>
      <c r="U11" s="124"/>
      <c r="V11" s="124"/>
      <c r="W11" s="124"/>
      <c r="X11" s="124"/>
      <c r="Y11" s="65"/>
      <c r="Z11" s="65"/>
      <c r="AA11" s="65"/>
      <c r="AB11" s="65"/>
      <c r="AC11" s="65"/>
    </row>
    <row r="12" ht="57" customHeight="1" spans="1:29">
      <c r="A12" s="126" t="s">
        <v>81</v>
      </c>
      <c r="B12" s="127"/>
      <c r="C12" s="128"/>
      <c r="D12" s="126" t="str">
        <f>报关单!C19</f>
        <v>纺织产品桌布</v>
      </c>
      <c r="E12" s="127"/>
      <c r="F12" s="127"/>
      <c r="G12" s="127"/>
      <c r="H12" s="128"/>
      <c r="I12" s="129">
        <f>报关单!AE15</f>
        <v>61</v>
      </c>
      <c r="J12" s="127"/>
      <c r="K12" s="128"/>
      <c r="L12" s="126">
        <f>报关单!L15</f>
        <v>2440</v>
      </c>
      <c r="M12" s="128"/>
      <c r="N12" s="130" t="str">
        <f>报关单!M15</f>
        <v>件</v>
      </c>
      <c r="O12" s="129">
        <f>报关单!AC15</f>
        <v>997.35</v>
      </c>
      <c r="P12" s="127"/>
      <c r="Q12" s="127"/>
      <c r="R12" s="127"/>
      <c r="S12" s="128"/>
      <c r="T12" s="126">
        <f>报关单!AD15</f>
        <v>866.81</v>
      </c>
      <c r="U12" s="127"/>
      <c r="V12" s="127"/>
      <c r="W12" s="127"/>
      <c r="X12" s="128"/>
      <c r="Y12" s="65"/>
      <c r="Z12" s="65"/>
      <c r="AA12" s="65"/>
      <c r="AB12" s="65"/>
      <c r="AC12" s="65"/>
    </row>
    <row r="13" ht="57" customHeight="1" spans="1:29">
      <c r="A13" s="126"/>
      <c r="B13" s="127"/>
      <c r="C13" s="128"/>
      <c r="D13" s="126"/>
      <c r="E13" s="127"/>
      <c r="F13" s="127"/>
      <c r="G13" s="127"/>
      <c r="H13" s="128"/>
      <c r="I13" s="129"/>
      <c r="J13" s="127"/>
      <c r="K13" s="128"/>
      <c r="L13" s="126"/>
      <c r="M13" s="128"/>
      <c r="N13" s="130"/>
      <c r="O13" s="129"/>
      <c r="P13" s="127"/>
      <c r="Q13" s="127"/>
      <c r="R13" s="127"/>
      <c r="S13" s="128"/>
      <c r="T13" s="126"/>
      <c r="U13" s="127"/>
      <c r="V13" s="127"/>
      <c r="W13" s="127"/>
      <c r="X13" s="128"/>
      <c r="Y13" s="65"/>
      <c r="Z13" s="65"/>
      <c r="AA13" s="65"/>
      <c r="AB13" s="65"/>
      <c r="AC13" s="65"/>
    </row>
    <row r="14" ht="57" customHeight="1" spans="1:29">
      <c r="A14" s="126"/>
      <c r="B14" s="127"/>
      <c r="C14" s="128"/>
      <c r="D14" s="126"/>
      <c r="E14" s="127"/>
      <c r="F14" s="127"/>
      <c r="G14" s="127"/>
      <c r="H14" s="128"/>
      <c r="I14" s="129"/>
      <c r="J14" s="127"/>
      <c r="K14" s="128"/>
      <c r="L14" s="126"/>
      <c r="M14" s="128"/>
      <c r="N14" s="130"/>
      <c r="O14" s="129"/>
      <c r="P14" s="127"/>
      <c r="Q14" s="127"/>
      <c r="R14" s="127"/>
      <c r="S14" s="128"/>
      <c r="T14" s="126"/>
      <c r="U14" s="127"/>
      <c r="V14" s="127"/>
      <c r="W14" s="127"/>
      <c r="X14" s="128"/>
      <c r="Y14" s="65"/>
      <c r="Z14" s="65"/>
      <c r="AA14" s="65"/>
      <c r="AB14" s="65"/>
      <c r="AC14" s="65"/>
    </row>
    <row r="15" ht="57" customHeight="1" spans="1:29">
      <c r="A15" s="126"/>
      <c r="B15" s="127"/>
      <c r="C15" s="128"/>
      <c r="D15" s="126"/>
      <c r="E15" s="127"/>
      <c r="F15" s="127"/>
      <c r="G15" s="127"/>
      <c r="H15" s="128"/>
      <c r="I15" s="129"/>
      <c r="J15" s="127"/>
      <c r="K15" s="128"/>
      <c r="L15" s="126"/>
      <c r="M15" s="128"/>
      <c r="N15" s="130"/>
      <c r="O15" s="129"/>
      <c r="P15" s="127"/>
      <c r="Q15" s="127"/>
      <c r="R15" s="127"/>
      <c r="S15" s="128"/>
      <c r="T15" s="126"/>
      <c r="U15" s="127"/>
      <c r="V15" s="127"/>
      <c r="W15" s="127"/>
      <c r="X15" s="128"/>
      <c r="Y15" s="65"/>
      <c r="Z15" s="65"/>
      <c r="AA15" s="65"/>
      <c r="AB15" s="65"/>
      <c r="AC15" s="65"/>
    </row>
    <row r="16" ht="30.25" customHeight="1" spans="1:29">
      <c r="A16" s="131" t="s">
        <v>109</v>
      </c>
      <c r="B16" s="131"/>
      <c r="C16" s="131"/>
      <c r="D16" s="132"/>
      <c r="E16" s="132"/>
      <c r="F16" s="132"/>
      <c r="G16" s="132"/>
      <c r="H16" s="132"/>
      <c r="I16" s="133">
        <f>SUM(I12:K15)</f>
        <v>61</v>
      </c>
      <c r="J16" s="134"/>
      <c r="K16" s="134"/>
      <c r="L16" s="135">
        <f>SUM(L12:M15)</f>
        <v>2440</v>
      </c>
      <c r="M16" s="136"/>
      <c r="N16" s="137"/>
      <c r="O16" s="138">
        <f>SUM(O12:S15)</f>
        <v>997.35</v>
      </c>
      <c r="P16" s="138"/>
      <c r="Q16" s="139"/>
      <c r="R16" s="139"/>
      <c r="S16" s="139"/>
      <c r="T16" s="138">
        <f>SUM(T12:X15)</f>
        <v>866.81</v>
      </c>
      <c r="U16" s="139"/>
      <c r="V16" s="139"/>
      <c r="W16" s="139"/>
      <c r="X16" s="139"/>
      <c r="Y16" s="65"/>
      <c r="Z16" s="65"/>
      <c r="AA16" s="65"/>
      <c r="AB16" s="65"/>
      <c r="AC16" s="65"/>
    </row>
    <row r="17" ht="15" customHeight="1" spans="1:29">
      <c r="A17" s="140" t="s">
        <v>110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</row>
    <row r="18" ht="15" customHeight="1" spans="1:29">
      <c r="A18" s="141" t="s">
        <v>111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</row>
  </sheetData>
  <mergeCells count="74">
    <mergeCell ref="A1:F1"/>
    <mergeCell ref="G1:L1"/>
    <mergeCell ref="M1:N1"/>
    <mergeCell ref="O3:P3"/>
    <mergeCell ref="O4:Q4"/>
    <mergeCell ref="O5:Q5"/>
    <mergeCell ref="A6:C6"/>
    <mergeCell ref="O6:Q6"/>
    <mergeCell ref="A7:C7"/>
    <mergeCell ref="O7:R7"/>
    <mergeCell ref="A8:H8"/>
    <mergeCell ref="O10:AC10"/>
    <mergeCell ref="A11:C11"/>
    <mergeCell ref="D11:H11"/>
    <mergeCell ref="I11:K11"/>
    <mergeCell ref="L11:N11"/>
    <mergeCell ref="O11:S11"/>
    <mergeCell ref="T11:X11"/>
    <mergeCell ref="Y11:AC11"/>
    <mergeCell ref="A12:C12"/>
    <mergeCell ref="D12:H12"/>
    <mergeCell ref="I12:K12"/>
    <mergeCell ref="L12:M12"/>
    <mergeCell ref="O12:S12"/>
    <mergeCell ref="T12:X12"/>
    <mergeCell ref="A13:C13"/>
    <mergeCell ref="D13:H13"/>
    <mergeCell ref="I13:K13"/>
    <mergeCell ref="L13:M13"/>
    <mergeCell ref="O13:S13"/>
    <mergeCell ref="T13:X13"/>
    <mergeCell ref="A14:C14"/>
    <mergeCell ref="D14:H14"/>
    <mergeCell ref="I14:K14"/>
    <mergeCell ref="L14:M14"/>
    <mergeCell ref="O14:S14"/>
    <mergeCell ref="T14:X14"/>
    <mergeCell ref="A15:C15"/>
    <mergeCell ref="D15:H15"/>
    <mergeCell ref="I15:K15"/>
    <mergeCell ref="L15:M15"/>
    <mergeCell ref="O15:S15"/>
    <mergeCell ref="T15:X15"/>
    <mergeCell ref="A16:C16"/>
    <mergeCell ref="D16:H16"/>
    <mergeCell ref="I16:K16"/>
    <mergeCell ref="L16:M16"/>
    <mergeCell ref="O16:S16"/>
    <mergeCell ref="T16:X16"/>
    <mergeCell ref="Y16:AC16"/>
    <mergeCell ref="A17:AC17"/>
    <mergeCell ref="A18:AC18"/>
    <mergeCell ref="M8:M10"/>
    <mergeCell ref="N2:N3"/>
    <mergeCell ref="N8:N9"/>
    <mergeCell ref="Y12:Y15"/>
    <mergeCell ref="Z12:Z15"/>
    <mergeCell ref="AA12:AA15"/>
    <mergeCell ref="AB12:AB15"/>
    <mergeCell ref="AC12:AC15"/>
    <mergeCell ref="O1:P2"/>
    <mergeCell ref="A2:E3"/>
    <mergeCell ref="F2:M3"/>
    <mergeCell ref="Q2:S3"/>
    <mergeCell ref="T2:V3"/>
    <mergeCell ref="A4:N5"/>
    <mergeCell ref="R4:S6"/>
    <mergeCell ref="T4:W5"/>
    <mergeCell ref="L6:N7"/>
    <mergeCell ref="T6:W7"/>
    <mergeCell ref="O8:AC9"/>
    <mergeCell ref="A9:H10"/>
    <mergeCell ref="I8:L10"/>
    <mergeCell ref="D6:K7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5"/>
  <sheetViews>
    <sheetView workbookViewId="0">
      <selection activeCell="E3" sqref="E3:W6"/>
    </sheetView>
  </sheetViews>
  <sheetFormatPr defaultColWidth="10.2833333333333" defaultRowHeight="14.25"/>
  <cols>
    <col min="1" max="1" width="7.55833333333333" customWidth="1"/>
    <col min="2" max="2" width="3.675" customWidth="1"/>
    <col min="3" max="3" width="7.2" customWidth="1"/>
    <col min="4" max="4" width="4.83333333333333" customWidth="1"/>
    <col min="5" max="5" width="1.53333333333333" customWidth="1"/>
    <col min="6" max="6" width="10.675" customWidth="1"/>
    <col min="7" max="7" width="3.21666666666667" customWidth="1"/>
    <col min="8" max="8" width="3.80833333333333" customWidth="1"/>
    <col min="9" max="9" width="6.475" customWidth="1"/>
    <col min="10" max="10" width="5.30833333333333" customWidth="1"/>
    <col min="11" max="11" width="1.56666666666667" customWidth="1"/>
    <col min="12" max="12" width="4.88333333333333" customWidth="1"/>
    <col min="13" max="13" width="10.425" customWidth="1"/>
    <col min="14" max="14" width="3.05833333333333" customWidth="1"/>
    <col min="15" max="15" width="6.125" customWidth="1"/>
    <col min="16" max="16" width="3.28333333333333" customWidth="1"/>
    <col min="17" max="17" width="4.51666666666667" customWidth="1"/>
    <col min="18" max="18" width="1.05833333333333" customWidth="1"/>
    <col min="19" max="19" width="2.99166666666667" customWidth="1"/>
    <col min="20" max="20" width="2.74166666666667" customWidth="1"/>
    <col min="21" max="21" width="12.4416666666667" customWidth="1"/>
    <col min="22" max="22" width="2.83333333333333" customWidth="1"/>
    <col min="23" max="23" width="4.075" customWidth="1"/>
    <col min="24" max="24" width="3.425" customWidth="1"/>
    <col min="25" max="25" width="10.4" customWidth="1"/>
    <col min="26" max="26" width="5" customWidth="1"/>
    <col min="27" max="27" width="11.1083333333333" customWidth="1"/>
    <col min="28" max="28" width="16.5666666666667" customWidth="1"/>
    <col min="29" max="29" width="5.375" customWidth="1"/>
  </cols>
  <sheetData>
    <row r="1" ht="28.5" customHeight="1" spans="1:29">
      <c r="A1" s="39" t="s">
        <v>112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40"/>
      <c r="Y1" s="40"/>
      <c r="Z1" s="40"/>
      <c r="AA1" s="40"/>
      <c r="AB1" s="40"/>
      <c r="AC1" s="40"/>
    </row>
    <row r="2" ht="28.5" customHeight="1" spans="1:29">
      <c r="A2" s="13" t="s">
        <v>113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6"/>
      <c r="Y2" s="6"/>
      <c r="Z2" s="6"/>
      <c r="AA2" s="6"/>
      <c r="AB2" s="6"/>
      <c r="AC2" s="6"/>
    </row>
    <row r="3" ht="13.5" customHeight="1" spans="1:29">
      <c r="A3" s="4"/>
      <c r="B3" s="5" t="s">
        <v>114</v>
      </c>
      <c r="C3" s="4"/>
      <c r="D3" s="4"/>
      <c r="E3" s="41" t="s">
        <v>115</v>
      </c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3"/>
      <c r="Y3" s="3"/>
      <c r="Z3" s="3"/>
      <c r="AA3" s="3"/>
      <c r="AB3" s="3"/>
      <c r="AC3" s="3"/>
    </row>
    <row r="4" ht="16.5" customHeight="1" spans="1:29">
      <c r="A4" s="4"/>
      <c r="B4" s="5" t="s">
        <v>116</v>
      </c>
      <c r="C4" s="4"/>
      <c r="D4" s="4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3"/>
      <c r="Y4" s="3"/>
      <c r="Z4" s="3"/>
      <c r="AA4" s="3"/>
      <c r="AB4" s="3"/>
      <c r="AC4" s="3"/>
    </row>
    <row r="5" ht="13.5" customHeight="1" spans="1:29">
      <c r="A5" s="4"/>
      <c r="B5" s="5" t="s">
        <v>117</v>
      </c>
      <c r="C5" s="4"/>
      <c r="D5" s="4"/>
      <c r="E5" s="42" t="s">
        <v>118</v>
      </c>
      <c r="F5" s="43"/>
      <c r="G5" s="43"/>
      <c r="H5" s="43"/>
      <c r="I5" s="43"/>
      <c r="J5" s="43"/>
      <c r="K5" s="43"/>
      <c r="L5" s="43"/>
      <c r="M5" s="43"/>
      <c r="N5" s="43"/>
      <c r="O5" s="9" t="s">
        <v>1</v>
      </c>
      <c r="P5" s="9"/>
      <c r="Q5" s="9"/>
      <c r="R5" s="9"/>
      <c r="S5" s="9"/>
      <c r="T5" s="9"/>
      <c r="U5" s="9"/>
      <c r="V5" s="9"/>
      <c r="W5" s="9"/>
      <c r="X5" s="3"/>
      <c r="Y5" s="3"/>
      <c r="Z5" s="3"/>
      <c r="AA5" s="3"/>
      <c r="AB5" s="3"/>
      <c r="AC5" s="3"/>
    </row>
    <row r="6" ht="16.5" customHeight="1" spans="1:29">
      <c r="A6" s="4"/>
      <c r="B6" s="5" t="s">
        <v>119</v>
      </c>
      <c r="C6" s="4"/>
      <c r="D6" s="4"/>
      <c r="E6" s="43"/>
      <c r="F6" s="43"/>
      <c r="G6" s="43"/>
      <c r="H6" s="43"/>
      <c r="I6" s="43"/>
      <c r="J6" s="43"/>
      <c r="K6" s="43"/>
      <c r="L6" s="43"/>
      <c r="M6" s="43"/>
      <c r="N6" s="43"/>
      <c r="O6" s="4" t="s">
        <v>120</v>
      </c>
      <c r="P6" s="4"/>
      <c r="Q6" s="4"/>
      <c r="R6" s="4"/>
      <c r="S6" s="4"/>
      <c r="T6" s="4"/>
      <c r="U6" s="4"/>
      <c r="V6" s="4"/>
      <c r="W6" s="4"/>
      <c r="X6" s="3"/>
      <c r="Y6" s="44"/>
      <c r="Z6" s="44"/>
      <c r="AA6" s="44"/>
      <c r="AB6" s="44"/>
      <c r="AC6" s="44"/>
    </row>
    <row r="7" ht="51.1" customHeight="1" spans="1:29">
      <c r="A7" s="4"/>
      <c r="B7" s="5" t="s">
        <v>121</v>
      </c>
      <c r="C7" s="4"/>
      <c r="D7" s="4"/>
      <c r="E7" s="45" t="s">
        <v>122</v>
      </c>
      <c r="F7" s="5"/>
      <c r="G7" s="5"/>
      <c r="H7" s="5"/>
      <c r="I7" s="5"/>
      <c r="J7" s="5"/>
      <c r="K7" s="5"/>
      <c r="L7" s="5"/>
      <c r="M7" s="5"/>
      <c r="N7" s="5"/>
      <c r="O7" s="46" t="s">
        <v>123</v>
      </c>
      <c r="P7" s="47"/>
      <c r="Q7" s="48"/>
      <c r="R7" s="46" t="str">
        <f>报关单!A8</f>
        <v>EF-C26037-AVP1</v>
      </c>
      <c r="S7" s="47"/>
      <c r="T7" s="47"/>
      <c r="U7" s="47"/>
      <c r="V7" s="47"/>
      <c r="W7" s="48"/>
      <c r="X7" s="49"/>
      <c r="Y7" s="49"/>
      <c r="Z7" s="49"/>
      <c r="AA7" s="49"/>
      <c r="AB7" s="49"/>
      <c r="AC7" s="49"/>
    </row>
    <row r="8" ht="24.6" customHeight="1" spans="1:29">
      <c r="A8" s="4"/>
      <c r="B8" s="4"/>
      <c r="C8" s="50" t="s">
        <v>124</v>
      </c>
      <c r="D8" s="4"/>
      <c r="E8" s="17"/>
      <c r="F8" s="17"/>
      <c r="G8" s="17"/>
      <c r="H8" s="51" t="s">
        <v>125</v>
      </c>
      <c r="I8" s="50"/>
      <c r="J8" s="50"/>
      <c r="K8" s="50"/>
      <c r="L8" s="50"/>
      <c r="M8" s="50"/>
      <c r="N8" s="50"/>
      <c r="O8" s="52" t="s">
        <v>126</v>
      </c>
      <c r="P8" s="52"/>
      <c r="Q8" s="52"/>
      <c r="R8" s="52"/>
      <c r="S8" s="52"/>
      <c r="T8" s="52"/>
      <c r="U8" s="52"/>
      <c r="V8" s="52"/>
      <c r="W8" s="52"/>
      <c r="X8" s="53"/>
      <c r="Y8" s="3"/>
      <c r="Z8" s="3"/>
      <c r="AA8" s="3"/>
      <c r="AB8" s="3"/>
      <c r="AC8" s="3"/>
    </row>
    <row r="9" ht="18.75" customHeight="1" spans="1:29">
      <c r="A9" s="4"/>
      <c r="B9" s="54" t="s">
        <v>127</v>
      </c>
      <c r="C9" s="4"/>
      <c r="D9" s="4"/>
      <c r="E9" s="55" t="s">
        <v>128</v>
      </c>
      <c r="F9" s="55"/>
      <c r="G9" s="55"/>
      <c r="H9" s="55"/>
      <c r="I9" s="55"/>
      <c r="J9" s="55"/>
      <c r="K9" s="55"/>
      <c r="L9" s="55"/>
      <c r="M9" s="55"/>
      <c r="N9" s="55"/>
      <c r="O9" s="46" t="s">
        <v>129</v>
      </c>
      <c r="P9" s="56"/>
      <c r="Q9" s="26"/>
      <c r="R9" s="57">
        <f>报关单!V4</f>
        <v>46160</v>
      </c>
      <c r="S9" s="58"/>
      <c r="T9" s="58"/>
      <c r="U9" s="58"/>
      <c r="V9" s="58"/>
      <c r="W9" s="59"/>
      <c r="X9" s="3"/>
      <c r="Y9" s="3"/>
      <c r="Z9" s="3"/>
      <c r="AA9" s="3"/>
      <c r="AB9" s="3"/>
      <c r="AC9" s="3"/>
    </row>
    <row r="10" ht="16.5" customHeight="1" spans="1:29">
      <c r="A10" s="4"/>
      <c r="B10" s="5" t="s">
        <v>130</v>
      </c>
      <c r="C10" s="4"/>
      <c r="D10" s="4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4" t="s">
        <v>131</v>
      </c>
      <c r="P10" s="4"/>
      <c r="Q10" s="4"/>
      <c r="R10" s="4"/>
      <c r="S10" s="4"/>
      <c r="T10" s="4"/>
      <c r="U10" s="4"/>
      <c r="V10" s="4"/>
      <c r="W10" s="4"/>
      <c r="X10" s="3"/>
      <c r="Y10" s="3"/>
      <c r="Z10" s="3"/>
      <c r="AA10" s="3"/>
      <c r="AB10" s="3"/>
      <c r="AC10" s="3"/>
    </row>
    <row r="11" ht="17" customHeight="1" spans="1:29">
      <c r="A11" s="4"/>
      <c r="B11" s="5" t="s">
        <v>132</v>
      </c>
      <c r="C11" s="4"/>
      <c r="D11" s="4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60" t="s">
        <v>133</v>
      </c>
      <c r="P11" s="5"/>
      <c r="Q11" s="5"/>
      <c r="R11" s="5"/>
      <c r="S11" s="5"/>
      <c r="T11" s="5"/>
      <c r="U11" s="5"/>
      <c r="V11" s="5"/>
      <c r="W11" s="5"/>
      <c r="X11" s="6"/>
      <c r="Y11" s="6"/>
      <c r="Z11" s="6"/>
      <c r="AA11" s="6"/>
      <c r="AB11" s="6"/>
      <c r="AC11" s="6"/>
    </row>
    <row r="12" ht="16.5" customHeight="1" spans="1:29">
      <c r="A12" s="4"/>
      <c r="B12" s="5" t="s">
        <v>119</v>
      </c>
      <c r="C12" s="4"/>
      <c r="D12" s="4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61" t="s">
        <v>134</v>
      </c>
      <c r="P12" s="61"/>
      <c r="Q12" s="61"/>
      <c r="R12" s="61"/>
      <c r="S12" s="61"/>
      <c r="T12" s="61"/>
      <c r="U12" s="61"/>
      <c r="V12" s="61"/>
      <c r="W12" s="61"/>
      <c r="X12" s="8"/>
      <c r="Y12" s="8"/>
      <c r="Z12" s="8"/>
      <c r="AA12" s="8"/>
      <c r="AB12" s="8"/>
      <c r="AC12" s="8"/>
    </row>
    <row r="13" ht="13.5" customHeight="1" spans="1:29">
      <c r="A13" s="4"/>
      <c r="B13" s="50" t="s">
        <v>135</v>
      </c>
      <c r="C13" s="4"/>
      <c r="D13" s="4"/>
      <c r="E13" s="62" t="s">
        <v>136</v>
      </c>
      <c r="F13" s="4"/>
      <c r="G13" s="4"/>
      <c r="H13" s="4"/>
      <c r="I13" s="4"/>
      <c r="J13" s="4"/>
      <c r="K13" s="4"/>
      <c r="L13" s="4"/>
      <c r="M13" s="4"/>
      <c r="N13" s="4"/>
      <c r="O13" s="17" t="s">
        <v>137</v>
      </c>
      <c r="P13" s="17"/>
      <c r="Q13" s="17"/>
      <c r="R13" s="17"/>
      <c r="S13" s="17"/>
      <c r="T13" s="17"/>
      <c r="U13" s="17"/>
      <c r="V13" s="17"/>
      <c r="W13" s="17"/>
      <c r="X13" s="63"/>
      <c r="Y13" s="63"/>
      <c r="Z13" s="63"/>
      <c r="AA13" s="63"/>
      <c r="AB13" s="63"/>
      <c r="AC13" s="63"/>
    </row>
    <row r="14" ht="16.5" customHeight="1" spans="1:29">
      <c r="A14" s="4"/>
      <c r="B14" s="5" t="s">
        <v>124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9" t="s">
        <v>1</v>
      </c>
      <c r="P14" s="9"/>
      <c r="Q14" s="9"/>
      <c r="R14" s="9"/>
      <c r="S14" s="9"/>
      <c r="T14" s="9"/>
      <c r="U14" s="9"/>
      <c r="V14" s="9"/>
      <c r="W14" s="9"/>
      <c r="X14" s="3"/>
      <c r="Y14" s="3"/>
      <c r="Z14" s="3"/>
      <c r="AA14" s="3"/>
      <c r="AB14" s="3"/>
      <c r="AC14" s="3"/>
    </row>
    <row r="15" ht="14.35" customHeight="1" spans="1:29">
      <c r="A15" s="5" t="s">
        <v>138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6"/>
      <c r="Y15" s="6"/>
      <c r="Z15" s="6"/>
      <c r="AA15" s="6"/>
      <c r="AB15" s="6"/>
      <c r="AC15" s="6"/>
    </row>
    <row r="16" ht="16.5" customHeight="1" spans="1:29">
      <c r="A16" s="50" t="s">
        <v>139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63"/>
      <c r="Y16" s="63"/>
      <c r="Z16" s="63"/>
      <c r="AA16" s="63"/>
      <c r="AB16" s="63"/>
      <c r="AC16" s="63"/>
    </row>
    <row r="17" ht="33" customHeight="1" spans="1:29">
      <c r="A17" s="17" t="s">
        <v>140</v>
      </c>
      <c r="B17" s="17"/>
      <c r="C17" s="17"/>
      <c r="D17" s="17"/>
      <c r="E17" s="17"/>
      <c r="F17" s="17"/>
      <c r="G17" s="17"/>
      <c r="H17" s="17" t="s">
        <v>141</v>
      </c>
      <c r="I17" s="17"/>
      <c r="J17" s="17"/>
      <c r="K17" s="17"/>
      <c r="L17" s="17" t="s">
        <v>142</v>
      </c>
      <c r="M17" s="17"/>
      <c r="N17" s="17"/>
      <c r="O17" s="17" t="s">
        <v>143</v>
      </c>
      <c r="P17" s="17"/>
      <c r="Q17" s="17"/>
      <c r="R17" s="17"/>
      <c r="S17" s="64" t="s">
        <v>144</v>
      </c>
      <c r="T17" s="17"/>
      <c r="U17" s="17"/>
      <c r="V17" s="17"/>
      <c r="W17" s="17"/>
      <c r="X17" s="65"/>
      <c r="Y17" s="65"/>
      <c r="Z17" s="65"/>
      <c r="AA17" s="65"/>
      <c r="AB17" s="65"/>
      <c r="AC17" s="65"/>
    </row>
    <row r="18" ht="16" customHeight="1" spans="1:29">
      <c r="A18" s="66" t="str">
        <f>报关单!C19</f>
        <v>纺织产品桌布</v>
      </c>
      <c r="B18" s="66"/>
      <c r="C18" s="66"/>
      <c r="D18" s="66"/>
      <c r="E18" s="66"/>
      <c r="F18" s="66"/>
      <c r="G18" s="66"/>
      <c r="H18" s="67">
        <f>报关单!L15</f>
        <v>2440</v>
      </c>
      <c r="I18" s="66"/>
      <c r="J18" s="66"/>
      <c r="K18" s="66"/>
      <c r="L18" s="66" t="str">
        <f>报关单!M15</f>
        <v>件</v>
      </c>
      <c r="M18" s="66"/>
      <c r="N18" s="66"/>
      <c r="O18" s="68">
        <f>报关单!N15</f>
        <v>1.55</v>
      </c>
      <c r="P18" s="66"/>
      <c r="Q18" s="66"/>
      <c r="R18" s="66"/>
      <c r="S18" s="69">
        <f>报关单!P15</f>
        <v>3782</v>
      </c>
      <c r="T18" s="70"/>
      <c r="U18" s="70"/>
      <c r="V18" s="70"/>
      <c r="W18" s="70"/>
      <c r="X18" s="65"/>
      <c r="Y18" s="65"/>
      <c r="Z18" s="65"/>
      <c r="AA18" s="65"/>
      <c r="AB18" s="65"/>
      <c r="AC18" s="65"/>
    </row>
    <row r="19" ht="12.25" customHeight="1" spans="1:29">
      <c r="A19" s="71"/>
      <c r="B19" s="17"/>
      <c r="C19" s="17"/>
      <c r="D19" s="17"/>
      <c r="E19" s="17"/>
      <c r="F19" s="17"/>
      <c r="G19" s="17"/>
      <c r="H19" s="72"/>
      <c r="I19" s="13"/>
      <c r="J19" s="13"/>
      <c r="K19" s="13"/>
      <c r="L19" s="17"/>
      <c r="M19" s="17"/>
      <c r="N19" s="17"/>
      <c r="O19" s="73"/>
      <c r="P19" s="13"/>
      <c r="Q19" s="13"/>
      <c r="R19" s="13"/>
      <c r="S19" s="74"/>
      <c r="T19" s="50"/>
      <c r="U19" s="50"/>
      <c r="V19" s="50"/>
      <c r="W19" s="50"/>
      <c r="X19" s="65"/>
      <c r="Y19" s="65"/>
      <c r="Z19" s="65"/>
      <c r="AA19" s="65"/>
      <c r="AB19" s="65"/>
      <c r="AC19" s="65"/>
    </row>
    <row r="20" ht="12.25" customHeight="1" spans="1:29">
      <c r="A20" s="71"/>
      <c r="B20" s="17"/>
      <c r="C20" s="17"/>
      <c r="D20" s="17"/>
      <c r="E20" s="17"/>
      <c r="F20" s="17"/>
      <c r="G20" s="17"/>
      <c r="H20" s="72"/>
      <c r="I20" s="13"/>
      <c r="J20" s="13"/>
      <c r="K20" s="13"/>
      <c r="L20" s="17"/>
      <c r="M20" s="17"/>
      <c r="N20" s="17"/>
      <c r="O20" s="73"/>
      <c r="P20" s="13"/>
      <c r="Q20" s="13"/>
      <c r="R20" s="13"/>
      <c r="S20" s="74"/>
      <c r="T20" s="50"/>
      <c r="U20" s="50"/>
      <c r="V20" s="50"/>
      <c r="W20" s="50"/>
      <c r="X20" s="65"/>
      <c r="Y20" s="65"/>
      <c r="Z20" s="65"/>
      <c r="AA20" s="65"/>
      <c r="AB20" s="65"/>
      <c r="AC20" s="65"/>
    </row>
    <row r="21" ht="12.25" customHeight="1" spans="1:29">
      <c r="A21" s="71"/>
      <c r="B21" s="17"/>
      <c r="C21" s="17"/>
      <c r="D21" s="17"/>
      <c r="E21" s="17"/>
      <c r="F21" s="17"/>
      <c r="G21" s="17"/>
      <c r="H21" s="72"/>
      <c r="I21" s="13"/>
      <c r="J21" s="13"/>
      <c r="K21" s="13"/>
      <c r="L21" s="17"/>
      <c r="M21" s="17"/>
      <c r="N21" s="17"/>
      <c r="O21" s="73"/>
      <c r="P21" s="13"/>
      <c r="Q21" s="13"/>
      <c r="R21" s="13"/>
      <c r="S21" s="74"/>
      <c r="T21" s="50"/>
      <c r="U21" s="50"/>
      <c r="V21" s="50"/>
      <c r="W21" s="50"/>
      <c r="X21" s="65"/>
      <c r="Y21" s="65"/>
      <c r="Z21" s="65"/>
      <c r="AA21" s="65"/>
      <c r="AB21" s="65"/>
      <c r="AC21" s="65"/>
    </row>
    <row r="22" ht="12.25" customHeight="1" spans="1:29">
      <c r="A22" s="71"/>
      <c r="B22" s="17"/>
      <c r="C22" s="17"/>
      <c r="D22" s="17"/>
      <c r="E22" s="17"/>
      <c r="F22" s="17"/>
      <c r="G22" s="17"/>
      <c r="H22" s="72"/>
      <c r="I22" s="13"/>
      <c r="J22" s="13"/>
      <c r="K22" s="13"/>
      <c r="L22" s="17"/>
      <c r="M22" s="17"/>
      <c r="N22" s="17"/>
      <c r="O22" s="73"/>
      <c r="P22" s="13"/>
      <c r="Q22" s="13"/>
      <c r="R22" s="13"/>
      <c r="S22" s="74"/>
      <c r="T22" s="50"/>
      <c r="U22" s="50"/>
      <c r="V22" s="50"/>
      <c r="W22" s="50"/>
      <c r="X22" s="65"/>
      <c r="Y22" s="65"/>
      <c r="Z22" s="65"/>
      <c r="AA22" s="65"/>
      <c r="AB22" s="65"/>
      <c r="AC22" s="65"/>
    </row>
    <row r="23" ht="12.25" customHeight="1" spans="1:29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65"/>
      <c r="Y23" s="65"/>
      <c r="Z23" s="65"/>
      <c r="AA23" s="65"/>
      <c r="AB23" s="65"/>
      <c r="AC23" s="65"/>
    </row>
    <row r="24" ht="12.25" customHeight="1" spans="1:29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65"/>
      <c r="Y24" s="65"/>
      <c r="Z24" s="65"/>
      <c r="AA24" s="65"/>
      <c r="AB24" s="65"/>
      <c r="AC24" s="65"/>
    </row>
    <row r="25" ht="12.25" customHeight="1" spans="1:29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65"/>
      <c r="Y25" s="65"/>
      <c r="Z25" s="65"/>
      <c r="AA25" s="65"/>
      <c r="AB25" s="65"/>
      <c r="AC25" s="65"/>
    </row>
    <row r="26" ht="12.25" customHeight="1" spans="1:29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65"/>
      <c r="Y26" s="65"/>
      <c r="Z26" s="65"/>
      <c r="AA26" s="65"/>
      <c r="AB26" s="65"/>
      <c r="AC26" s="65"/>
    </row>
    <row r="27" ht="12.25" customHeight="1" spans="1:29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65"/>
      <c r="Y27" s="65"/>
      <c r="Z27" s="65"/>
      <c r="AA27" s="65"/>
      <c r="AB27" s="65"/>
      <c r="AC27" s="65"/>
    </row>
    <row r="28" ht="12.25" customHeight="1" spans="1:29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65"/>
      <c r="Y28" s="65"/>
      <c r="Z28" s="65"/>
      <c r="AA28" s="65"/>
      <c r="AB28" s="65"/>
      <c r="AC28" s="65"/>
    </row>
    <row r="29" ht="12.25" customHeight="1" spans="1: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65"/>
      <c r="Y29" s="65"/>
      <c r="Z29" s="65"/>
      <c r="AA29" s="65"/>
      <c r="AB29" s="65"/>
      <c r="AC29" s="65"/>
    </row>
    <row r="30" ht="12.25" customHeight="1" spans="1:29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65"/>
      <c r="Y30" s="65"/>
      <c r="Z30" s="65"/>
      <c r="AA30" s="65"/>
      <c r="AB30" s="65"/>
      <c r="AC30" s="65"/>
    </row>
    <row r="31" ht="12.25" customHeight="1" spans="1:29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65"/>
      <c r="Y31" s="65"/>
      <c r="Z31" s="65"/>
      <c r="AA31" s="65"/>
      <c r="AB31" s="65"/>
      <c r="AC31" s="65"/>
    </row>
    <row r="32" ht="12.25" customHeight="1" spans="1:29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65"/>
      <c r="Y32" s="65"/>
      <c r="Z32" s="65"/>
      <c r="AA32" s="65"/>
      <c r="AB32" s="65"/>
      <c r="AC32" s="65"/>
    </row>
    <row r="33" ht="12.25" customHeight="1" spans="1:29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65"/>
      <c r="Y33" s="65"/>
      <c r="Z33" s="65"/>
      <c r="AA33" s="65"/>
      <c r="AB33" s="65"/>
      <c r="AC33" s="65"/>
    </row>
    <row r="34" ht="6.1" customHeight="1" spans="1:29">
      <c r="A34" s="75" t="s">
        <v>145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4"/>
      <c r="T34" s="4"/>
      <c r="U34" s="4"/>
      <c r="V34" s="4"/>
      <c r="W34" s="4"/>
      <c r="X34" s="65"/>
      <c r="Y34" s="65"/>
      <c r="Z34" s="65"/>
      <c r="AA34" s="65"/>
      <c r="AB34" s="65"/>
      <c r="AC34" s="65"/>
    </row>
    <row r="35" ht="28" customHeight="1" spans="1:29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76">
        <f>SUM(S18:W33)</f>
        <v>3782</v>
      </c>
      <c r="T35" s="5"/>
      <c r="U35" s="5"/>
      <c r="V35" s="5"/>
      <c r="W35" s="5"/>
      <c r="X35" s="65"/>
      <c r="Y35" s="65"/>
      <c r="Z35" s="65"/>
      <c r="AA35" s="65"/>
      <c r="AB35" s="65"/>
      <c r="AC35" s="65"/>
    </row>
    <row r="36" ht="15" customHeight="1" spans="1:29">
      <c r="A36" s="77" t="s">
        <v>146</v>
      </c>
      <c r="B36" s="78"/>
      <c r="C36" s="78"/>
      <c r="D36" s="79"/>
      <c r="E36" s="80">
        <f>S35</f>
        <v>3782</v>
      </c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2"/>
      <c r="X36" s="83"/>
      <c r="Y36" s="83"/>
      <c r="Z36" s="83"/>
      <c r="AA36" s="83"/>
      <c r="AB36" s="83"/>
      <c r="AC36" s="83"/>
    </row>
    <row r="37" ht="16.5" customHeight="1" spans="1:29">
      <c r="A37" s="5" t="s">
        <v>147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6"/>
      <c r="Y37" s="6"/>
      <c r="Z37" s="6"/>
      <c r="AA37" s="6"/>
      <c r="AB37" s="6"/>
      <c r="AC37" s="6"/>
    </row>
    <row r="38" ht="18.75" customHeight="1" spans="1:29">
      <c r="A38" s="5" t="s">
        <v>148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6"/>
      <c r="Y38" s="6"/>
      <c r="Z38" s="6"/>
      <c r="AA38" s="6"/>
      <c r="AB38" s="6"/>
      <c r="AC38" s="6"/>
    </row>
    <row r="39" ht="35.25" customHeight="1" spans="1:29">
      <c r="A39" s="50" t="s">
        <v>149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63"/>
      <c r="Y39" s="63"/>
      <c r="Z39" s="63"/>
      <c r="AA39" s="63"/>
      <c r="AB39" s="63"/>
      <c r="AC39" s="63"/>
    </row>
    <row r="40" ht="18.75" customHeight="1" spans="1:29">
      <c r="A40" s="84" t="s">
        <v>150</v>
      </c>
      <c r="B40" s="85"/>
      <c r="C40" s="85"/>
      <c r="D40" s="86"/>
      <c r="E40" s="87">
        <f>报关单!V4+3</f>
        <v>46163</v>
      </c>
      <c r="F40" s="85"/>
      <c r="G40" s="85"/>
      <c r="H40" s="86"/>
      <c r="I40" s="88" t="s">
        <v>151</v>
      </c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90"/>
      <c r="X40" s="63"/>
      <c r="Y40" s="63"/>
      <c r="Z40" s="63"/>
      <c r="AA40" s="63"/>
      <c r="AB40" s="63"/>
      <c r="AC40" s="63"/>
    </row>
    <row r="41" ht="18.75" customHeight="1" spans="1:29">
      <c r="A41" s="91" t="s">
        <v>152</v>
      </c>
      <c r="B41" s="92"/>
      <c r="C41" s="92"/>
      <c r="D41" s="93"/>
      <c r="E41" s="94" t="s">
        <v>153</v>
      </c>
      <c r="F41" s="93"/>
      <c r="G41" s="94" t="str">
        <f>报关单!I8</f>
        <v>美国</v>
      </c>
      <c r="H41" s="93"/>
      <c r="I41" s="95" t="s">
        <v>154</v>
      </c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7"/>
      <c r="X41" s="98"/>
      <c r="Y41" s="98"/>
      <c r="Z41" s="98"/>
      <c r="AA41" s="98"/>
      <c r="AB41" s="98"/>
      <c r="AC41" s="98"/>
    </row>
    <row r="42" ht="129" customHeight="1" spans="1:29">
      <c r="A42" s="99" t="s">
        <v>155</v>
      </c>
      <c r="B42" s="99"/>
      <c r="C42" s="99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100"/>
      <c r="Y42" s="100"/>
      <c r="Z42" s="100"/>
      <c r="AA42" s="100"/>
      <c r="AB42" s="100"/>
      <c r="AC42" s="100"/>
    </row>
    <row r="43" ht="15" customHeight="1" spans="1:29">
      <c r="A43" s="101" t="s">
        <v>156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 t="s">
        <v>157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3"/>
      <c r="Y43" s="3"/>
      <c r="Z43" s="3"/>
      <c r="AA43" s="3"/>
      <c r="AB43" s="3"/>
      <c r="AC43" s="3"/>
    </row>
    <row r="44" ht="18.75" customHeight="1" spans="1:29">
      <c r="A44" s="50" t="s">
        <v>158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50" t="s">
        <v>159</v>
      </c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3"/>
      <c r="Y44" s="3"/>
      <c r="Z44" s="3"/>
      <c r="AA44" s="3"/>
      <c r="AB44" s="3"/>
      <c r="AC44" s="3"/>
    </row>
    <row r="45" ht="18.75" customHeight="1" spans="1:29">
      <c r="A45" s="102" t="s">
        <v>160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103" t="s">
        <v>161</v>
      </c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3"/>
      <c r="Y45" s="3"/>
      <c r="Z45" s="3"/>
      <c r="AA45" s="3"/>
      <c r="AB45" s="3"/>
      <c r="AC45" s="3"/>
    </row>
  </sheetData>
  <mergeCells count="147">
    <mergeCell ref="A1:W1"/>
    <mergeCell ref="A2:W2"/>
    <mergeCell ref="B3:D3"/>
    <mergeCell ref="B4:C4"/>
    <mergeCell ref="B5:D5"/>
    <mergeCell ref="O5:W5"/>
    <mergeCell ref="B6:C6"/>
    <mergeCell ref="O6:W6"/>
    <mergeCell ref="B7:D7"/>
    <mergeCell ref="E7:N7"/>
    <mergeCell ref="O7:Q7"/>
    <mergeCell ref="R7:W7"/>
    <mergeCell ref="A8:B8"/>
    <mergeCell ref="E8:G8"/>
    <mergeCell ref="H8:N8"/>
    <mergeCell ref="O8:W8"/>
    <mergeCell ref="B9:C9"/>
    <mergeCell ref="O9:Q9"/>
    <mergeCell ref="R9:W9"/>
    <mergeCell ref="B10:C10"/>
    <mergeCell ref="O10:W10"/>
    <mergeCell ref="B11:C11"/>
    <mergeCell ref="O11:W11"/>
    <mergeCell ref="B12:C12"/>
    <mergeCell ref="O12:W12"/>
    <mergeCell ref="B13:C13"/>
    <mergeCell ref="O13:W13"/>
    <mergeCell ref="B14:C14"/>
    <mergeCell ref="O14:W14"/>
    <mergeCell ref="A15:W15"/>
    <mergeCell ref="A16:W16"/>
    <mergeCell ref="A17:G17"/>
    <mergeCell ref="H17:K17"/>
    <mergeCell ref="L17:N17"/>
    <mergeCell ref="O17:R17"/>
    <mergeCell ref="S17:W17"/>
    <mergeCell ref="A18:G18"/>
    <mergeCell ref="H18:K18"/>
    <mergeCell ref="L18:N18"/>
    <mergeCell ref="O18:R18"/>
    <mergeCell ref="S18:W18"/>
    <mergeCell ref="A19:G19"/>
    <mergeCell ref="H19:K19"/>
    <mergeCell ref="L19:N19"/>
    <mergeCell ref="O19:R19"/>
    <mergeCell ref="S19:W19"/>
    <mergeCell ref="A20:G20"/>
    <mergeCell ref="H20:K20"/>
    <mergeCell ref="L20:N20"/>
    <mergeCell ref="O20:R20"/>
    <mergeCell ref="S20:W20"/>
    <mergeCell ref="A21:G21"/>
    <mergeCell ref="H21:K21"/>
    <mergeCell ref="L21:N21"/>
    <mergeCell ref="O21:R21"/>
    <mergeCell ref="S21:W21"/>
    <mergeCell ref="A22:G22"/>
    <mergeCell ref="H22:K22"/>
    <mergeCell ref="L22:N22"/>
    <mergeCell ref="O22:R22"/>
    <mergeCell ref="S22:W22"/>
    <mergeCell ref="A23:G23"/>
    <mergeCell ref="H23:K23"/>
    <mergeCell ref="L23:N23"/>
    <mergeCell ref="O23:R23"/>
    <mergeCell ref="S23:W23"/>
    <mergeCell ref="A24:G24"/>
    <mergeCell ref="H24:K24"/>
    <mergeCell ref="L24:N24"/>
    <mergeCell ref="O24:R24"/>
    <mergeCell ref="S24:W24"/>
    <mergeCell ref="A25:G25"/>
    <mergeCell ref="H25:K25"/>
    <mergeCell ref="L25:N25"/>
    <mergeCell ref="O25:R25"/>
    <mergeCell ref="S25:W25"/>
    <mergeCell ref="A26:G26"/>
    <mergeCell ref="H26:K26"/>
    <mergeCell ref="L26:N26"/>
    <mergeCell ref="O26:R26"/>
    <mergeCell ref="S26:W26"/>
    <mergeCell ref="A27:G27"/>
    <mergeCell ref="H27:K27"/>
    <mergeCell ref="L27:N27"/>
    <mergeCell ref="O27:R27"/>
    <mergeCell ref="S27:W27"/>
    <mergeCell ref="A28:G28"/>
    <mergeCell ref="H28:K28"/>
    <mergeCell ref="L28:N28"/>
    <mergeCell ref="O28:R28"/>
    <mergeCell ref="S28:W28"/>
    <mergeCell ref="A29:G29"/>
    <mergeCell ref="H29:K29"/>
    <mergeCell ref="L29:N29"/>
    <mergeCell ref="O29:R29"/>
    <mergeCell ref="S29:W29"/>
    <mergeCell ref="A30:G30"/>
    <mergeCell ref="H30:K30"/>
    <mergeCell ref="L30:N30"/>
    <mergeCell ref="O30:R30"/>
    <mergeCell ref="S30:W30"/>
    <mergeCell ref="A31:G31"/>
    <mergeCell ref="H31:K31"/>
    <mergeCell ref="L31:N31"/>
    <mergeCell ref="O31:R31"/>
    <mergeCell ref="S31:W31"/>
    <mergeCell ref="A32:G32"/>
    <mergeCell ref="H32:K32"/>
    <mergeCell ref="L32:N32"/>
    <mergeCell ref="O32:R32"/>
    <mergeCell ref="S32:W32"/>
    <mergeCell ref="A33:G33"/>
    <mergeCell ref="H33:K33"/>
    <mergeCell ref="L33:N33"/>
    <mergeCell ref="O33:R33"/>
    <mergeCell ref="S33:W33"/>
    <mergeCell ref="S34:W34"/>
    <mergeCell ref="S35:W35"/>
    <mergeCell ref="A36:D36"/>
    <mergeCell ref="E36:W36"/>
    <mergeCell ref="A37:W37"/>
    <mergeCell ref="A38:W38"/>
    <mergeCell ref="A39:W39"/>
    <mergeCell ref="A40:D40"/>
    <mergeCell ref="E40:H40"/>
    <mergeCell ref="I40:W40"/>
    <mergeCell ref="A41:D41"/>
    <mergeCell ref="E41:F41"/>
    <mergeCell ref="G41:H41"/>
    <mergeCell ref="I41:W41"/>
    <mergeCell ref="A42:W42"/>
    <mergeCell ref="A43:K43"/>
    <mergeCell ref="L43:W43"/>
    <mergeCell ref="A44:K44"/>
    <mergeCell ref="L44:W44"/>
    <mergeCell ref="A45:K45"/>
    <mergeCell ref="L45:W45"/>
    <mergeCell ref="A3:A7"/>
    <mergeCell ref="A9:A14"/>
    <mergeCell ref="D8:D14"/>
    <mergeCell ref="E9:N10"/>
    <mergeCell ref="E11:N12"/>
    <mergeCell ref="E13:N14"/>
    <mergeCell ref="X17:AC35"/>
    <mergeCell ref="A34:R35"/>
    <mergeCell ref="E3:W4"/>
    <mergeCell ref="E5:N6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3"/>
  <sheetViews>
    <sheetView workbookViewId="0">
      <selection activeCell="D11" sqref="D11:J11"/>
    </sheetView>
  </sheetViews>
  <sheetFormatPr defaultColWidth="10.2833333333333" defaultRowHeight="14.25"/>
  <cols>
    <col min="1" max="1" width="7.55833333333333" customWidth="1"/>
    <col min="2" max="2" width="3.675" customWidth="1"/>
    <col min="3" max="3" width="7.2" customWidth="1"/>
    <col min="4" max="4" width="4.83333333333333" customWidth="1"/>
    <col min="5" max="5" width="1.53333333333333" customWidth="1"/>
    <col min="6" max="6" width="10.675" customWidth="1"/>
    <col min="7" max="7" width="3.21666666666667" customWidth="1"/>
    <col min="8" max="8" width="3.80833333333333" customWidth="1"/>
    <col min="9" max="9" width="6.475" customWidth="1"/>
    <col min="10" max="10" width="5.30833333333333" customWidth="1"/>
    <col min="11" max="11" width="1.56666666666667" customWidth="1"/>
    <col min="12" max="12" width="4.88333333333333" customWidth="1"/>
    <col min="13" max="13" width="10.425" customWidth="1"/>
    <col min="14" max="14" width="3.05833333333333" customWidth="1"/>
    <col min="15" max="15" width="6.125" customWidth="1"/>
    <col min="16" max="16" width="3.28333333333333" customWidth="1"/>
    <col min="17" max="17" width="4.51666666666667" customWidth="1"/>
    <col min="18" max="18" width="1.05833333333333" customWidth="1"/>
    <col min="19" max="19" width="2.99166666666667" customWidth="1"/>
    <col min="20" max="20" width="2.74166666666667" customWidth="1"/>
    <col min="21" max="21" width="12.4416666666667" customWidth="1"/>
    <col min="22" max="22" width="2.83333333333333" customWidth="1"/>
    <col min="23" max="23" width="4.075" customWidth="1"/>
    <col min="24" max="24" width="3.425" customWidth="1"/>
    <col min="25" max="25" width="10.4" customWidth="1"/>
    <col min="26" max="26" width="5" customWidth="1"/>
    <col min="27" max="27" width="11.1083333333333" customWidth="1"/>
    <col min="28" max="28" width="16.5666666666667" customWidth="1"/>
    <col min="29" max="29" width="5.375" customWidth="1"/>
  </cols>
  <sheetData>
    <row r="1" ht="18.75" customHeight="1" spans="1:29">
      <c r="A1" s="1" t="s">
        <v>162</v>
      </c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  <c r="AC1" s="3"/>
    </row>
    <row r="2" ht="15" customHeight="1" spans="1:29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5" t="s">
        <v>163</v>
      </c>
      <c r="M2" s="5"/>
      <c r="N2" s="5"/>
      <c r="O2" s="5"/>
      <c r="P2" s="5"/>
      <c r="Q2" s="5"/>
      <c r="R2" s="5"/>
      <c r="S2" s="5"/>
      <c r="T2" s="5"/>
      <c r="U2" s="5"/>
      <c r="V2" s="3"/>
      <c r="W2" s="3"/>
      <c r="X2" s="3"/>
      <c r="Y2" s="3"/>
      <c r="Z2" s="3"/>
      <c r="AA2" s="3"/>
      <c r="AB2" s="3"/>
      <c r="AC2" s="3"/>
    </row>
    <row r="3" ht="42.1" customHeight="1" spans="1:29">
      <c r="A3" s="4" t="s">
        <v>164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"/>
      <c r="W3" s="3"/>
      <c r="X3" s="3"/>
      <c r="Y3" s="3"/>
      <c r="Z3" s="3"/>
      <c r="AA3" s="3"/>
      <c r="AB3" s="3"/>
      <c r="AC3" s="3"/>
    </row>
    <row r="4" ht="29.25" customHeight="1" spans="1:29">
      <c r="A4" s="5" t="s">
        <v>165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6"/>
      <c r="W4" s="6"/>
      <c r="X4" s="6"/>
      <c r="Y4" s="6"/>
      <c r="Z4" s="6"/>
      <c r="AA4" s="6"/>
      <c r="AB4" s="6"/>
      <c r="AC4" s="6"/>
    </row>
    <row r="5" ht="14.45" customHeight="1" spans="1:29">
      <c r="A5" s="7" t="s">
        <v>166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8"/>
      <c r="W5" s="8"/>
      <c r="X5" s="8"/>
      <c r="Y5" s="8"/>
      <c r="Z5" s="8"/>
      <c r="AA5" s="8"/>
      <c r="AB5" s="8"/>
      <c r="AC5" s="8"/>
    </row>
    <row r="6" ht="22.25" customHeight="1" spans="1:29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 t="s">
        <v>167</v>
      </c>
      <c r="M6" s="4"/>
      <c r="N6" s="4"/>
      <c r="O6" s="4"/>
      <c r="P6" s="9"/>
      <c r="Q6" s="9"/>
      <c r="R6" s="9"/>
      <c r="S6" s="9"/>
      <c r="T6" s="9"/>
      <c r="U6" s="9"/>
      <c r="V6" s="3"/>
      <c r="W6" s="3"/>
      <c r="X6" s="3"/>
      <c r="Y6" s="3"/>
      <c r="Z6" s="3"/>
      <c r="AA6" s="3"/>
      <c r="AB6" s="3"/>
      <c r="AC6" s="3"/>
    </row>
    <row r="7" ht="21.7" customHeight="1" spans="1:29">
      <c r="A7" s="10" t="s">
        <v>168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1"/>
      <c r="W7" s="11"/>
      <c r="X7" s="11"/>
      <c r="Y7" s="11"/>
      <c r="Z7" s="11"/>
      <c r="AA7" s="11"/>
      <c r="AB7" s="11"/>
      <c r="AC7" s="11"/>
    </row>
    <row r="8" ht="23" customHeight="1" spans="1:2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12">
        <f>报关单!V4-1</f>
        <v>46159</v>
      </c>
      <c r="Q8" s="12"/>
      <c r="R8" s="12"/>
      <c r="S8" s="12"/>
      <c r="T8" s="12"/>
      <c r="U8" s="12"/>
      <c r="V8" s="3"/>
      <c r="W8" s="3"/>
      <c r="X8" s="3"/>
      <c r="Y8" s="3"/>
      <c r="Z8" s="3"/>
      <c r="AA8" s="3"/>
      <c r="AB8" s="3"/>
      <c r="AC8" s="3"/>
    </row>
    <row r="9" ht="31.2" customHeight="1" spans="1:29">
      <c r="A9" s="13" t="s">
        <v>169</v>
      </c>
      <c r="B9" s="13"/>
      <c r="C9" s="13"/>
      <c r="D9" s="13"/>
      <c r="E9" s="13"/>
      <c r="F9" s="13"/>
      <c r="G9" s="13"/>
      <c r="H9" s="13"/>
      <c r="I9" s="14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1"/>
      <c r="W9" s="11"/>
      <c r="X9" s="11"/>
      <c r="Y9" s="11"/>
      <c r="Z9" s="11"/>
      <c r="AA9" s="11"/>
      <c r="AB9" s="11"/>
      <c r="AC9" s="11"/>
    </row>
    <row r="10" ht="12" customHeight="1" spans="1:29">
      <c r="A10" s="15" t="s">
        <v>170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6"/>
      <c r="W10" s="6"/>
      <c r="X10" s="6"/>
      <c r="Y10" s="6"/>
      <c r="Z10" s="6"/>
      <c r="AA10" s="6"/>
      <c r="AB10" s="6"/>
      <c r="AC10" s="6"/>
    </row>
    <row r="11" ht="16.1" customHeight="1" spans="1:29">
      <c r="A11" s="17" t="s">
        <v>171</v>
      </c>
      <c r="B11" s="17"/>
      <c r="C11" s="17"/>
      <c r="D11" s="18" t="s">
        <v>172</v>
      </c>
      <c r="E11" s="19"/>
      <c r="F11" s="19"/>
      <c r="G11" s="19"/>
      <c r="H11" s="19"/>
      <c r="I11" s="19"/>
      <c r="J11" s="19"/>
      <c r="K11" s="4"/>
      <c r="L11" s="17" t="s">
        <v>173</v>
      </c>
      <c r="M11" s="17"/>
      <c r="N11" s="4"/>
      <c r="O11" s="4"/>
      <c r="P11" s="4"/>
      <c r="Q11" s="4"/>
      <c r="R11" s="4"/>
      <c r="S11" s="4"/>
      <c r="T11" s="4"/>
      <c r="U11" s="4"/>
      <c r="V11" s="3"/>
      <c r="W11" s="3"/>
      <c r="X11" s="3"/>
      <c r="Y11" s="3"/>
      <c r="Z11" s="3"/>
      <c r="AA11" s="3"/>
      <c r="AB11" s="3"/>
      <c r="AC11" s="3"/>
    </row>
    <row r="12" ht="14.9" customHeight="1" spans="1:29">
      <c r="A12" s="17" t="s">
        <v>174</v>
      </c>
      <c r="B12" s="17"/>
      <c r="C12" s="17"/>
      <c r="D12" s="20" t="s">
        <v>175</v>
      </c>
      <c r="E12" s="17"/>
      <c r="F12" s="17"/>
      <c r="G12" s="17"/>
      <c r="H12" s="17"/>
      <c r="I12" s="17"/>
      <c r="J12" s="17"/>
      <c r="K12" s="4"/>
      <c r="L12" s="17" t="s">
        <v>176</v>
      </c>
      <c r="M12" s="17"/>
      <c r="N12" s="4"/>
      <c r="O12" s="4"/>
      <c r="P12" s="4"/>
      <c r="Q12" s="4"/>
      <c r="R12" s="4"/>
      <c r="S12" s="4"/>
      <c r="T12" s="4"/>
      <c r="U12" s="4"/>
      <c r="V12" s="3"/>
      <c r="W12" s="3"/>
      <c r="X12" s="3"/>
      <c r="Y12" s="3"/>
      <c r="Z12" s="3"/>
      <c r="AA12" s="3"/>
      <c r="AB12" s="3"/>
      <c r="AC12" s="3"/>
    </row>
    <row r="13" ht="15.1" customHeight="1" spans="1:29">
      <c r="A13" s="21" t="s">
        <v>177</v>
      </c>
      <c r="B13" s="22"/>
      <c r="C13" s="22"/>
      <c r="D13" s="23">
        <v>6302539090</v>
      </c>
      <c r="E13" s="22"/>
      <c r="F13" s="22"/>
      <c r="G13" s="22"/>
      <c r="H13" s="22"/>
      <c r="I13" s="22"/>
      <c r="J13" s="22"/>
      <c r="K13" s="4"/>
      <c r="L13" s="17" t="s">
        <v>178</v>
      </c>
      <c r="M13" s="17"/>
      <c r="N13" s="24">
        <f>报关单!V4</f>
        <v>46160</v>
      </c>
      <c r="O13" s="24"/>
      <c r="P13" s="24"/>
      <c r="Q13" s="24"/>
      <c r="R13" s="24"/>
      <c r="S13" s="24"/>
      <c r="T13" s="24"/>
      <c r="U13" s="24"/>
      <c r="V13" s="3"/>
      <c r="W13" s="3"/>
      <c r="X13" s="3"/>
      <c r="Y13" s="3"/>
      <c r="Z13" s="3"/>
      <c r="AA13" s="3"/>
      <c r="AB13" s="3"/>
      <c r="AC13" s="3"/>
    </row>
    <row r="14" ht="14.65" customHeight="1" spans="1:29">
      <c r="A14" s="7" t="s">
        <v>179</v>
      </c>
      <c r="B14" s="13"/>
      <c r="C14" s="13"/>
      <c r="D14" s="25" t="s">
        <v>48</v>
      </c>
      <c r="E14" s="26"/>
      <c r="F14" s="27">
        <f>SUM(报关单!P15:P16)</f>
        <v>3782</v>
      </c>
      <c r="G14" s="28"/>
      <c r="H14" s="28"/>
      <c r="I14" s="28"/>
      <c r="J14" s="29"/>
      <c r="K14" s="4"/>
      <c r="L14" s="13" t="s">
        <v>180</v>
      </c>
      <c r="M14" s="13"/>
      <c r="N14" s="13" t="s">
        <v>181</v>
      </c>
      <c r="O14" s="13"/>
      <c r="P14" s="13"/>
      <c r="Q14" s="13"/>
      <c r="R14" s="13"/>
      <c r="S14" s="13"/>
      <c r="T14" s="13" t="s">
        <v>182</v>
      </c>
      <c r="U14" s="13"/>
      <c r="V14" s="3"/>
      <c r="W14" s="3"/>
      <c r="X14" s="3"/>
      <c r="Y14" s="3"/>
      <c r="Z14" s="3"/>
      <c r="AA14" s="3"/>
      <c r="AB14" s="3"/>
      <c r="AC14" s="3"/>
    </row>
    <row r="15" ht="14.65" customHeight="1" spans="1:29">
      <c r="A15" s="13" t="s">
        <v>183</v>
      </c>
      <c r="B15" s="13"/>
      <c r="C15" s="13"/>
      <c r="D15" s="30">
        <f>报关单!V4+3</f>
        <v>46163</v>
      </c>
      <c r="E15" s="30"/>
      <c r="F15" s="30"/>
      <c r="G15" s="30"/>
      <c r="H15" s="30"/>
      <c r="I15" s="30"/>
      <c r="J15" s="30"/>
      <c r="K15" s="4"/>
      <c r="L15" s="13"/>
      <c r="M15" s="13"/>
      <c r="N15" s="13" t="s">
        <v>184</v>
      </c>
      <c r="O15" s="13"/>
      <c r="P15" s="13"/>
      <c r="Q15" s="13"/>
      <c r="R15" s="13"/>
      <c r="S15" s="13"/>
      <c r="T15" s="13" t="s">
        <v>185</v>
      </c>
      <c r="U15" s="13"/>
      <c r="V15" s="3"/>
      <c r="W15" s="3"/>
      <c r="X15" s="3"/>
      <c r="Y15" s="3"/>
      <c r="Z15" s="3"/>
      <c r="AA15" s="3"/>
      <c r="AB15" s="3"/>
      <c r="AC15" s="3"/>
    </row>
    <row r="16" ht="15.1" customHeight="1" spans="1:29">
      <c r="A16" s="17" t="s">
        <v>186</v>
      </c>
      <c r="B16" s="17"/>
      <c r="C16" s="17"/>
      <c r="D16" s="4"/>
      <c r="E16" s="4"/>
      <c r="F16" s="4"/>
      <c r="G16" s="4"/>
      <c r="H16" s="4"/>
      <c r="I16" s="4"/>
      <c r="J16" s="4"/>
      <c r="K16" s="4"/>
      <c r="L16" s="13"/>
      <c r="M16" s="13"/>
      <c r="N16" s="13" t="s">
        <v>187</v>
      </c>
      <c r="O16" s="13"/>
      <c r="P16" s="13"/>
      <c r="Q16" s="13"/>
      <c r="R16" s="13"/>
      <c r="S16" s="13"/>
      <c r="T16" s="13" t="s">
        <v>188</v>
      </c>
      <c r="U16" s="13"/>
      <c r="V16" s="3"/>
      <c r="W16" s="3"/>
      <c r="X16" s="3"/>
      <c r="Y16" s="3"/>
      <c r="Z16" s="3"/>
      <c r="AA16" s="3"/>
      <c r="AB16" s="3"/>
      <c r="AC16" s="3"/>
    </row>
    <row r="17" ht="15.35" customHeight="1" spans="1:29">
      <c r="A17" s="17" t="s">
        <v>189</v>
      </c>
      <c r="B17" s="17"/>
      <c r="C17" s="17"/>
      <c r="D17" s="17" t="s">
        <v>190</v>
      </c>
      <c r="E17" s="17"/>
      <c r="F17" s="17"/>
      <c r="G17" s="17"/>
      <c r="H17" s="17"/>
      <c r="I17" s="17"/>
      <c r="J17" s="17"/>
      <c r="K17" s="4"/>
      <c r="L17" s="13"/>
      <c r="M17" s="13"/>
      <c r="N17" s="31" t="s">
        <v>191</v>
      </c>
      <c r="O17" s="5"/>
      <c r="P17" s="5"/>
      <c r="Q17" s="5"/>
      <c r="R17" s="5"/>
      <c r="S17" s="5"/>
      <c r="T17" s="5"/>
      <c r="U17" s="5"/>
      <c r="V17" s="3"/>
      <c r="W17" s="3"/>
      <c r="X17" s="3"/>
      <c r="Y17" s="3"/>
      <c r="Z17" s="3"/>
      <c r="AA17" s="3"/>
      <c r="AB17" s="3"/>
      <c r="AC17" s="3"/>
    </row>
    <row r="18" ht="14.9" customHeight="1" spans="1:29">
      <c r="A18" s="17" t="s">
        <v>192</v>
      </c>
      <c r="B18" s="17"/>
      <c r="C18" s="17"/>
      <c r="D18" s="17" t="s">
        <v>193</v>
      </c>
      <c r="E18" s="17"/>
      <c r="F18" s="17"/>
      <c r="G18" s="17"/>
      <c r="H18" s="17"/>
      <c r="I18" s="17"/>
      <c r="J18" s="17"/>
      <c r="K18" s="4"/>
      <c r="L18" s="13" t="s">
        <v>194</v>
      </c>
      <c r="M18" s="13"/>
      <c r="N18" s="31" t="s">
        <v>195</v>
      </c>
      <c r="O18" s="5"/>
      <c r="P18" s="5"/>
      <c r="Q18" s="5"/>
      <c r="R18" s="5"/>
      <c r="S18" s="5"/>
      <c r="T18" s="5"/>
      <c r="U18" s="5"/>
      <c r="V18" s="3"/>
      <c r="W18" s="3"/>
      <c r="X18" s="3"/>
      <c r="Y18" s="3"/>
      <c r="Z18" s="3"/>
      <c r="AA18" s="3"/>
      <c r="AB18" s="3"/>
      <c r="AC18" s="3"/>
    </row>
    <row r="19" ht="102.5" customHeight="1" spans="1:29">
      <c r="A19" s="4" t="s">
        <v>196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 t="s">
        <v>197</v>
      </c>
      <c r="M19" s="4"/>
      <c r="N19" s="4"/>
      <c r="O19" s="4"/>
      <c r="P19" s="4"/>
      <c r="Q19" s="4"/>
      <c r="R19" s="4"/>
      <c r="S19" s="4"/>
      <c r="T19" s="4"/>
      <c r="U19" s="4"/>
      <c r="V19" s="3"/>
      <c r="W19" s="3"/>
      <c r="X19" s="3"/>
      <c r="Y19" s="3"/>
      <c r="Z19" s="3"/>
      <c r="AA19" s="3"/>
      <c r="AB19" s="3"/>
      <c r="AC19" s="3"/>
    </row>
    <row r="20" ht="43.9" customHeight="1" spans="1:29">
      <c r="A20" s="32" t="s">
        <v>198</v>
      </c>
      <c r="B20" s="33"/>
      <c r="C20" s="33"/>
      <c r="D20" s="33"/>
      <c r="E20" s="33"/>
      <c r="F20" s="33"/>
      <c r="G20" s="33"/>
      <c r="H20" s="33"/>
      <c r="I20" s="33"/>
      <c r="J20" s="33"/>
      <c r="K20" s="4"/>
      <c r="L20" s="32" t="s">
        <v>198</v>
      </c>
      <c r="M20" s="33"/>
      <c r="N20" s="33"/>
      <c r="O20" s="33"/>
      <c r="P20" s="33"/>
      <c r="Q20" s="33"/>
      <c r="R20" s="33"/>
      <c r="S20" s="33"/>
      <c r="T20" s="33"/>
      <c r="U20" s="33"/>
      <c r="V20" s="3"/>
      <c r="W20" s="3"/>
      <c r="X20" s="3"/>
      <c r="Y20" s="3"/>
      <c r="Z20" s="3"/>
      <c r="AA20" s="3"/>
      <c r="AB20" s="3"/>
      <c r="AC20" s="3"/>
    </row>
    <row r="21" ht="44.45" customHeight="1" spans="1:29">
      <c r="A21" s="4" t="s">
        <v>199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 t="s">
        <v>200</v>
      </c>
      <c r="M21" s="4"/>
      <c r="N21" s="4"/>
      <c r="O21" s="4"/>
      <c r="P21" s="4"/>
      <c r="Q21" s="4"/>
      <c r="R21" s="4"/>
      <c r="S21" s="4"/>
      <c r="T21" s="4"/>
      <c r="U21" s="4"/>
      <c r="V21" s="3"/>
      <c r="W21" s="3"/>
      <c r="X21" s="3"/>
      <c r="Y21" s="3"/>
      <c r="Z21" s="3"/>
      <c r="AA21" s="3"/>
      <c r="AB21" s="3"/>
      <c r="AC21" s="3"/>
    </row>
    <row r="22" ht="82.4" customHeight="1" spans="1:29">
      <c r="A22" s="34" t="s">
        <v>201</v>
      </c>
      <c r="B22" s="35"/>
      <c r="C22" s="35"/>
      <c r="D22" s="36">
        <f>报关单!V4</f>
        <v>46160</v>
      </c>
      <c r="E22" s="37"/>
      <c r="F22" s="37"/>
      <c r="G22" s="37"/>
      <c r="H22" s="37"/>
      <c r="I22" s="37"/>
      <c r="J22" s="37"/>
      <c r="K22" s="4"/>
      <c r="L22" s="5" t="s">
        <v>202</v>
      </c>
      <c r="M22" s="5"/>
      <c r="N22" s="36">
        <f>报关单!V4+1</f>
        <v>46161</v>
      </c>
      <c r="O22" s="37"/>
      <c r="P22" s="37"/>
      <c r="Q22" s="37"/>
      <c r="R22" s="37"/>
      <c r="S22" s="37"/>
      <c r="T22" s="37"/>
      <c r="U22" s="37"/>
      <c r="V22" s="3"/>
      <c r="W22" s="3"/>
      <c r="X22" s="3"/>
      <c r="Y22" s="3"/>
      <c r="Z22" s="3"/>
      <c r="AA22" s="3"/>
      <c r="AB22" s="3"/>
      <c r="AC22" s="3"/>
    </row>
    <row r="23" ht="27" customHeight="1" spans="1:29">
      <c r="A23" s="38" t="s">
        <v>203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5" t="s">
        <v>204</v>
      </c>
      <c r="T23" s="4"/>
      <c r="U23" s="4"/>
      <c r="V23" s="3"/>
      <c r="W23" s="3"/>
      <c r="X23" s="3"/>
      <c r="Y23" s="3"/>
      <c r="Z23" s="3"/>
      <c r="AA23" s="3"/>
      <c r="AB23" s="3"/>
      <c r="AC23" s="3"/>
    </row>
  </sheetData>
  <mergeCells count="60">
    <mergeCell ref="A1:U1"/>
    <mergeCell ref="A2:K2"/>
    <mergeCell ref="L2:U2"/>
    <mergeCell ref="A3:U3"/>
    <mergeCell ref="A4:U4"/>
    <mergeCell ref="A5:U5"/>
    <mergeCell ref="A6:K6"/>
    <mergeCell ref="L6:O6"/>
    <mergeCell ref="P6:U6"/>
    <mergeCell ref="A7:U7"/>
    <mergeCell ref="A8:O8"/>
    <mergeCell ref="P8:U8"/>
    <mergeCell ref="A9:U9"/>
    <mergeCell ref="A10:U10"/>
    <mergeCell ref="A11:C11"/>
    <mergeCell ref="D11:J11"/>
    <mergeCell ref="L11:M11"/>
    <mergeCell ref="N11:U11"/>
    <mergeCell ref="A12:C12"/>
    <mergeCell ref="D12:J12"/>
    <mergeCell ref="L12:M12"/>
    <mergeCell ref="N12:U12"/>
    <mergeCell ref="A13:C13"/>
    <mergeCell ref="D13:J13"/>
    <mergeCell ref="L13:M13"/>
    <mergeCell ref="N13:U13"/>
    <mergeCell ref="A14:C14"/>
    <mergeCell ref="D14:E14"/>
    <mergeCell ref="F14:J14"/>
    <mergeCell ref="N14:S14"/>
    <mergeCell ref="T14:U14"/>
    <mergeCell ref="A15:C15"/>
    <mergeCell ref="D15:J15"/>
    <mergeCell ref="N15:S15"/>
    <mergeCell ref="T15:U15"/>
    <mergeCell ref="A16:C16"/>
    <mergeCell ref="D16:J16"/>
    <mergeCell ref="N16:S16"/>
    <mergeCell ref="T16:U16"/>
    <mergeCell ref="A17:C17"/>
    <mergeCell ref="D17:J17"/>
    <mergeCell ref="N17:U17"/>
    <mergeCell ref="A18:C18"/>
    <mergeCell ref="D18:J18"/>
    <mergeCell ref="L18:M18"/>
    <mergeCell ref="N18:U18"/>
    <mergeCell ref="A19:J19"/>
    <mergeCell ref="L19:U19"/>
    <mergeCell ref="A20:J20"/>
    <mergeCell ref="L20:U20"/>
    <mergeCell ref="A21:J21"/>
    <mergeCell ref="L21:U21"/>
    <mergeCell ref="A22:C22"/>
    <mergeCell ref="D22:J22"/>
    <mergeCell ref="L22:M22"/>
    <mergeCell ref="N22:U22"/>
    <mergeCell ref="A23:R23"/>
    <mergeCell ref="S23:U23"/>
    <mergeCell ref="K11:K22"/>
    <mergeCell ref="L14:M17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报关单</vt:lpstr>
      <vt:lpstr>发票</vt:lpstr>
      <vt:lpstr>装箱单</vt:lpstr>
      <vt:lpstr>合同</vt:lpstr>
      <vt:lpstr>委托协议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一瓢</cp:lastModifiedBy>
  <dcterms:created xsi:type="dcterms:W3CDTF">2024-04-17T18:47:00Z</dcterms:created>
  <dcterms:modified xsi:type="dcterms:W3CDTF">2026-05-18T07:38:13Z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wqlLaW5nc29mdCBQREYgdG8gV1BTIDkw</vt:lpwstr>
  </property>
  <property fmtid="{D5CDD505-2E9C-101B-9397-08002B2CF9AE}" pid="3" name="Created">
    <vt:filetime>2024-04-25T02:44:28Z</vt:filetime>
  </property>
  <property fmtid="{D5CDD505-2E9C-101B-9397-08002B2CF9AE}" pid="4" name="KSOProductBuildVer">
    <vt:lpwstr>2052-12.1.0.25865</vt:lpwstr>
  </property>
  <property fmtid="{D5CDD505-2E9C-101B-9397-08002B2CF9AE}" pid="5" name="ICV">
    <vt:lpwstr>BBE9C7F17A5144BF9796592759AFC280_13</vt:lpwstr>
  </property>
  <property fmtid="{D5CDD505-2E9C-101B-9397-08002B2CF9AE}" pid="6" name="KSOReadingLayout">
    <vt:bool>true</vt:bool>
  </property>
  <property fmtid="{D5CDD505-2E9C-101B-9397-08002B2CF9AE}" pid="7" name="CalculationRule">
    <vt:i4>0</vt:i4>
  </property>
</Properties>
</file>