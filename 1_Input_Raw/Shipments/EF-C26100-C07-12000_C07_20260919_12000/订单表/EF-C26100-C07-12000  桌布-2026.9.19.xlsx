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Sheet1" sheetId="1" state="visible" r:id="rId1"/>
  </sheets>
  <definedNames>
    <definedName name="_xlnm.Print_Area" localSheetId="0">'Sheet1'!$A$1:$J$16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&quot;￥&quot;#,##0.00;[Red]&quot;￥&quot;\-#,##0.00"/>
    <numFmt numFmtId="166" formatCode="&quot;￥&quot;#,##0.00;&quot;￥&quot;\-#,##0.00"/>
  </numFmts>
  <fonts count="40">
    <font>
      <name val="宋体"/>
      <charset val="134"/>
      <color indexed="8"/>
      <sz val="11"/>
    </font>
    <font>
      <name val="Arial"/>
      <charset val="0"/>
      <family val="2"/>
      <color indexed="8"/>
      <sz val="11"/>
    </font>
    <font>
      <name val="Arial"/>
      <charset val="0"/>
      <family val="2"/>
      <b val="1"/>
      <color indexed="8"/>
      <sz val="12"/>
    </font>
    <font>
      <name val="Tahoma"/>
      <charset val="134"/>
      <family val="2"/>
      <color indexed="8"/>
      <sz val="16"/>
    </font>
    <font>
      <name val="Tahoma"/>
      <charset val="134"/>
      <family val="2"/>
      <color indexed="8"/>
      <sz val="10"/>
    </font>
    <font>
      <name val="Tahoma"/>
      <charset val="134"/>
      <family val="2"/>
      <color indexed="8"/>
      <sz val="9"/>
    </font>
    <font>
      <name val="宋体"/>
      <charset val="134"/>
      <color rgb="FF000000"/>
      <sz val="14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Arial"/>
      <charset val="0"/>
      <family val="2"/>
      <b val="1"/>
      <sz val="12"/>
    </font>
    <font>
      <name val="Arial"/>
      <charset val="0"/>
      <family val="2"/>
      <b val="1"/>
      <color rgb="FF000000"/>
      <sz val="12"/>
    </font>
    <font>
      <name val="Arial"/>
      <charset val="0"/>
      <family val="2"/>
      <sz val="12"/>
    </font>
    <font>
      <name val="宋体"/>
      <charset val="134"/>
      <color rgb="FF000000"/>
      <sz val="11"/>
    </font>
    <font>
      <name val="돋움"/>
      <charset val="134"/>
      <sz val="9"/>
    </font>
    <font>
      <name val="돋움"/>
      <charset val="134"/>
      <sz val="8"/>
    </font>
    <font>
      <name val="Arial"/>
      <charset val="0"/>
      <family val="2"/>
      <sz val="8"/>
    </font>
    <font>
      <name val="돋움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Arial"/>
      <charset val="0"/>
      <family val="2"/>
      <b val="1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12"/>
      <sz val="11"/>
      <u val="single"/>
    </font>
    <font>
      <name val="宋体"/>
      <charset val="134"/>
      <color indexed="20"/>
      <sz val="11"/>
      <u val="single"/>
    </font>
    <font>
      <name val="宋体"/>
      <charset val="134"/>
      <color indexed="10"/>
      <sz val="11"/>
    </font>
    <font>
      <name val="宋体"/>
      <charset val="134"/>
      <b val="1"/>
      <color indexed="62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62"/>
      <sz val="15"/>
    </font>
    <font>
      <name val="宋体"/>
      <charset val="134"/>
      <b val="1"/>
      <color indexed="62"/>
      <sz val="13"/>
    </font>
    <font>
      <name val="宋体"/>
      <charset val="134"/>
      <b val="1"/>
      <color indexed="62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color indexed="17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sz val="12"/>
    </font>
    <font>
      <name val="돋움"/>
      <charset val="134"/>
      <sz val="11"/>
    </font>
    <font>
      <name val="Arial"/>
      <charset val="0"/>
      <family val="2"/>
      <color indexed="8"/>
      <sz val="14"/>
    </font>
    <font>
      <name val="宋体"/>
      <charset val="134"/>
      <b val="1"/>
      <color indexed="8"/>
      <sz val="12"/>
    </font>
  </fonts>
  <fills count="21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6" borderId="1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1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7" fillId="0" borderId="0" applyAlignment="1">
      <alignment vertical="center"/>
    </xf>
    <xf numFmtId="0" fontId="28" fillId="7" borderId="13" applyAlignment="1">
      <alignment vertical="center"/>
    </xf>
    <xf numFmtId="0" fontId="29" fillId="8" borderId="14" applyAlignment="1">
      <alignment vertical="center"/>
    </xf>
    <xf numFmtId="0" fontId="30" fillId="8" borderId="13" applyAlignment="1">
      <alignment vertical="center"/>
    </xf>
    <xf numFmtId="0" fontId="31" fillId="3" borderId="15" applyAlignment="1">
      <alignment vertical="center"/>
    </xf>
    <xf numFmtId="0" fontId="32" fillId="0" borderId="16" applyAlignment="1">
      <alignment vertical="center"/>
    </xf>
    <xf numFmtId="0" fontId="19" fillId="0" borderId="17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0" fillId="10" borderId="0" applyAlignment="1">
      <alignment vertical="center"/>
    </xf>
    <xf numFmtId="0" fontId="0" fillId="10" borderId="0" applyAlignment="1">
      <alignment vertical="center"/>
    </xf>
    <xf numFmtId="0" fontId="35" fillId="10" borderId="0" applyAlignment="1">
      <alignment vertical="center"/>
    </xf>
    <xf numFmtId="0" fontId="35" fillId="16" borderId="0" applyAlignment="1">
      <alignment vertical="center"/>
    </xf>
    <xf numFmtId="0" fontId="0" fillId="9" borderId="0" applyAlignment="1">
      <alignment vertical="center"/>
    </xf>
    <xf numFmtId="0" fontId="0" fillId="9" borderId="0" applyAlignment="1">
      <alignment vertical="center"/>
    </xf>
    <xf numFmtId="0" fontId="35" fillId="9" borderId="0" applyAlignment="1">
      <alignment vertical="center"/>
    </xf>
    <xf numFmtId="0" fontId="35" fillId="17" borderId="0" applyAlignment="1">
      <alignment vertical="center"/>
    </xf>
    <xf numFmtId="0" fontId="0" fillId="18" borderId="0" applyAlignment="1">
      <alignment vertical="center"/>
    </xf>
    <xf numFmtId="0" fontId="0" fillId="18" borderId="0" applyAlignment="1">
      <alignment vertical="center"/>
    </xf>
    <xf numFmtId="0" fontId="35" fillId="18" borderId="0" applyAlignment="1">
      <alignment vertical="center"/>
    </xf>
    <xf numFmtId="0" fontId="35" fillId="12" borderId="0" applyAlignment="1">
      <alignment vertical="center"/>
    </xf>
    <xf numFmtId="0" fontId="0" fillId="19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20" borderId="0" applyAlignment="1">
      <alignment vertical="center"/>
    </xf>
    <xf numFmtId="0" fontId="0" fillId="7" borderId="0" applyAlignment="1">
      <alignment vertical="center"/>
    </xf>
    <xf numFmtId="0" fontId="0" fillId="7" borderId="0" applyAlignment="1">
      <alignment vertical="center"/>
    </xf>
    <xf numFmtId="0" fontId="35" fillId="7" borderId="0" applyAlignment="1">
      <alignment vertical="center"/>
    </xf>
    <xf numFmtId="0" fontId="36" fillId="0" borderId="0" applyAlignment="1">
      <alignment vertical="center"/>
    </xf>
    <xf numFmtId="0" fontId="36" fillId="0" borderId="0"/>
    <xf numFmtId="0" fontId="36" fillId="0" borderId="0"/>
    <xf numFmtId="0" fontId="36" fillId="0" borderId="0"/>
    <xf numFmtId="0" fontId="37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top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58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0" fillId="0" borderId="23" pivotButton="0" quotePrefix="0" xfId="0"/>
    <xf numFmtId="166" fontId="19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  <cellStyle name="常规 2" xfId="50"/>
    <cellStyle name="常规 5" xfId="51"/>
    <cellStyle name="常规_Sheet1" xfId="52"/>
    <cellStyle name="표준 2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tabSelected="1" zoomScale="85" zoomScaleNormal="85" workbookViewId="0">
      <selection activeCell="K12" sqref="K12"/>
    </sheetView>
  </sheetViews>
  <sheetFormatPr baseColWidth="8" defaultColWidth="9" defaultRowHeight="13.5" customHeight="1"/>
  <cols>
    <col width="20.25" customWidth="1" style="65" min="1" max="1"/>
    <col width="17.5" customWidth="1" style="65" min="2" max="3"/>
    <col width="17.25" customWidth="1" style="5" min="4" max="4"/>
    <col width="12.75" customWidth="1" style="5" min="5" max="5"/>
    <col width="21.5" customWidth="1" style="65" min="6" max="6"/>
    <col width="12.5" customWidth="1" style="65" min="7" max="7"/>
    <col width="16.625" customWidth="1" style="65" min="8" max="8"/>
    <col width="20.5" customWidth="1" style="65" min="9" max="9"/>
    <col width="24.5" customWidth="1" style="5" min="10" max="10"/>
    <col width="5.625" customWidth="1" style="65" min="11" max="18"/>
  </cols>
  <sheetData>
    <row r="1" ht="36.75" customHeight="1" s="65">
      <c r="A1" s="5" t="n"/>
      <c r="C1" s="5" t="n"/>
      <c r="D1" s="6" t="inlineStr">
        <is>
          <t xml:space="preserve"> Xuchang E-fashion Electronic Business Co., Ltd.</t>
        </is>
      </c>
      <c r="I1" s="7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</row>
    <row r="2" ht="41" customHeight="1" s="65">
      <c r="C2" s="5" t="n"/>
      <c r="D2" s="11" t="inlineStr">
        <is>
          <t>Add: 7th Floor Building Two, E-commerce Industrial Park Furong Road, Rural Intergration Demonstration Area of Xuchang, henan, China</t>
        </is>
      </c>
      <c r="I2" s="10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</row>
    <row r="3" ht="21.75" customHeight="1" s="65">
      <c r="C3" s="5" t="n"/>
      <c r="D3" s="11" t="n"/>
      <c r="E3" s="11" t="n"/>
      <c r="F3" s="10" t="n"/>
      <c r="G3" s="10" t="n"/>
      <c r="H3" s="10" t="n"/>
      <c r="I3" s="10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</row>
    <row r="4">
      <c r="C4" s="5" t="n"/>
      <c r="D4" s="12" t="inlineStr">
        <is>
          <t>TEL:      FAX:    E-MAIL:</t>
        </is>
      </c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</row>
    <row r="5" ht="15" customFormat="1" customHeight="1" s="5">
      <c r="A5" s="13" t="n"/>
    </row>
    <row r="6" ht="51" customFormat="1" customHeight="1" s="2">
      <c r="A6" s="15" t="inlineStr">
        <is>
          <t>订单编号：EF-C26100-C07-12000</t>
        </is>
      </c>
      <c r="B6" s="15" t="n"/>
      <c r="C6" s="15" t="n"/>
      <c r="D6" s="18" t="inlineStr">
        <is>
          <t>下单日期：</t>
        </is>
      </c>
      <c r="E6" s="18" t="inlineStr">
        <is>
          <t>2026.08.25</t>
        </is>
      </c>
      <c r="F6" s="17" t="n"/>
      <c r="G6" s="18" t="inlineStr">
        <is>
          <t>交货日期：2026.9.19</t>
        </is>
      </c>
      <c r="H6" s="66" t="n"/>
      <c r="J6" s="19" t="n"/>
    </row>
    <row r="7" ht="38" customFormat="1" customHeight="1" s="5"/>
    <row r="8" ht="32" customFormat="1" customHeight="1" s="3">
      <c r="A8" s="20" t="inlineStr">
        <is>
          <t>订单编号</t>
        </is>
      </c>
      <c r="B8" s="20" t="inlineStr">
        <is>
          <t>产品品类</t>
        </is>
      </c>
      <c r="C8" s="20" t="inlineStr">
        <is>
          <t>重量</t>
        </is>
      </c>
      <c r="D8" s="20" t="inlineStr">
        <is>
          <t>尺寸规格</t>
        </is>
      </c>
      <c r="E8" s="20" t="inlineStr">
        <is>
          <t>颜色</t>
        </is>
      </c>
      <c r="F8" s="20" t="inlineStr">
        <is>
          <t>数量</t>
        </is>
      </c>
      <c r="G8" s="21" t="inlineStr">
        <is>
          <t>备注</t>
        </is>
      </c>
      <c r="H8" s="67" t="n"/>
      <c r="I8" s="67" t="n"/>
      <c r="J8" s="68" t="n"/>
      <c r="K8" s="68" t="n"/>
      <c r="L8" s="69" t="n"/>
      <c r="M8" s="69" t="n"/>
      <c r="N8" s="69" t="n"/>
      <c r="O8" s="68" t="n"/>
      <c r="P8" s="68" t="n"/>
      <c r="Q8" s="68" t="n"/>
      <c r="R8" s="69" t="n"/>
      <c r="S8" s="68" t="n"/>
      <c r="T8" s="68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70" t="n"/>
      <c r="AG8" s="71" t="n"/>
    </row>
    <row r="9" ht="41" customHeight="1" s="65">
      <c r="A9" s="72" t="inlineStr">
        <is>
          <t>EF-C26100-C07</t>
        </is>
      </c>
      <c r="B9" s="61" t="inlineStr">
        <is>
          <t>单面磨毛纤维桌布</t>
        </is>
      </c>
      <c r="C9" s="61" t="inlineStr">
        <is>
          <t>90克/平方米</t>
        </is>
      </c>
      <c r="D9" s="73" t="inlineStr">
        <is>
          <t>60X102inch</t>
        </is>
      </c>
      <c r="E9" s="56" t="inlineStr">
        <is>
          <t>白</t>
        </is>
      </c>
      <c r="F9" s="56">
        <f>G15</f>
        <v/>
      </c>
      <c r="G9" s="32" t="n"/>
      <c r="H9" s="74" t="n"/>
      <c r="I9" s="74" t="n"/>
      <c r="J9" s="75" t="n"/>
      <c r="K9" s="75" t="n"/>
      <c r="L9" s="76" t="n"/>
      <c r="M9" s="76" t="n"/>
      <c r="N9" s="76" t="n"/>
      <c r="O9" s="77" t="n"/>
      <c r="P9" s="77" t="n"/>
      <c r="Q9" s="77" t="n"/>
      <c r="R9" s="76" t="n"/>
      <c r="S9" s="77" t="n"/>
      <c r="T9" s="77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78" t="n"/>
      <c r="AG9" s="79" t="n"/>
    </row>
    <row r="10" ht="26.1" customHeight="1" s="65">
      <c r="A10" s="43" t="inlineStr">
        <is>
          <t>合   计</t>
        </is>
      </c>
      <c r="B10" s="80" t="n"/>
      <c r="C10" s="80" t="n"/>
      <c r="D10" s="80" t="n"/>
      <c r="E10" s="80" t="n"/>
      <c r="F10" s="44">
        <f>SUM(F9:F9)</f>
        <v/>
      </c>
      <c r="G10" s="45" t="n"/>
      <c r="H10" s="46" t="n"/>
      <c r="I10" s="81" t="n"/>
    </row>
    <row r="11" ht="41" customHeight="1" s="65"/>
    <row r="12" ht="41" customHeight="1" s="65">
      <c r="A12" s="46" t="inlineStr">
        <is>
          <t>制单：任胜国</t>
        </is>
      </c>
      <c r="F12" s="46" t="inlineStr">
        <is>
          <t>审核：</t>
        </is>
      </c>
    </row>
    <row r="13" ht="41" customHeight="1" s="65">
      <c r="A13" s="49" t="inlineStr">
        <is>
          <t>装 箱 单 明 细</t>
        </is>
      </c>
    </row>
    <row r="14" ht="34" customHeight="1" s="65">
      <c r="A14" s="50" t="inlineStr">
        <is>
          <t>尺寸规格</t>
        </is>
      </c>
      <c r="B14" s="51" t="inlineStr">
        <is>
          <t>颜 色</t>
        </is>
      </c>
      <c r="C14" s="52" t="inlineStr">
        <is>
          <t>条数/包</t>
        </is>
      </c>
      <c r="D14" s="52" t="inlineStr">
        <is>
          <t>产品标签</t>
        </is>
      </c>
      <c r="E14" s="52" t="inlineStr">
        <is>
          <t>包数/箱</t>
        </is>
      </c>
      <c r="F14" s="52" t="inlineStr">
        <is>
          <t>总箱数</t>
        </is>
      </c>
      <c r="G14" s="52" t="inlineStr">
        <is>
          <t>总条数</t>
        </is>
      </c>
      <c r="H14" s="52" t="inlineStr">
        <is>
          <t>箱号</t>
        </is>
      </c>
      <c r="I14" s="52" t="inlineStr">
        <is>
          <t>内包装尺寸</t>
        </is>
      </c>
      <c r="J14" s="53" t="inlineStr">
        <is>
          <t>外箱尺寸（长*宽*高）</t>
        </is>
      </c>
    </row>
    <row r="15" ht="34" customHeight="1" s="65">
      <c r="A15" s="56" t="inlineStr">
        <is>
          <t>60X102inch</t>
        </is>
      </c>
      <c r="B15" s="56" t="inlineStr">
        <is>
          <t>白</t>
        </is>
      </c>
      <c r="C15" s="82" t="n">
        <v>10</v>
      </c>
      <c r="D15" s="56" t="inlineStr">
        <is>
          <t>X004SJV9UF</t>
        </is>
      </c>
      <c r="E15" s="56" t="n">
        <v>4</v>
      </c>
      <c r="F15" s="56" t="n">
        <v>300</v>
      </c>
      <c r="G15" s="56">
        <f>C15*E15*F15</f>
        <v/>
      </c>
      <c r="H15" s="56" t="inlineStr"/>
      <c r="I15" s="59" t="inlineStr">
        <is>
          <t>内盒25*19*28</t>
        </is>
      </c>
      <c r="J15" s="60" t="inlineStr">
        <is>
          <t>纸箱：40*27*58</t>
        </is>
      </c>
    </row>
    <row r="16" ht="34" customHeight="1" s="65">
      <c r="A16" s="64" t="inlineStr">
        <is>
          <t>合计</t>
        </is>
      </c>
      <c r="B16" s="80" t="n"/>
      <c r="C16" s="80" t="n"/>
      <c r="D16" s="80" t="n"/>
      <c r="E16" s="80" t="n"/>
      <c r="F16" s="64">
        <f>SUM(F15:F15)</f>
        <v/>
      </c>
      <c r="G16" s="64">
        <f>SUM(G15:G15)</f>
        <v/>
      </c>
      <c r="H16" s="64" t="n"/>
      <c r="I16" s="64" t="n"/>
      <c r="J16" s="64" t="n"/>
    </row>
    <row r="17" ht="41" customHeight="1" s="65"/>
    <row r="18" ht="41" customHeight="1" s="65"/>
    <row r="19" ht="41" customHeight="1" s="65"/>
    <row r="20" ht="26.1" customHeight="1" s="65"/>
    <row r="21" ht="22" customHeight="1" s="65"/>
    <row r="22" ht="65" customHeight="1" s="65"/>
    <row r="23" ht="51" customHeight="1" s="65"/>
    <row r="24" ht="34" customHeight="1" s="65"/>
    <row r="25" ht="34" customHeight="1" s="65"/>
    <row r="26" ht="34" customHeight="1" s="65"/>
    <row r="27" ht="34" customHeight="1" s="65"/>
    <row r="28" ht="34" customHeight="1" s="65"/>
    <row r="29" ht="34" customHeight="1" s="65"/>
    <row r="30" ht="34" customHeight="1" s="65"/>
    <row r="31" ht="34" customHeight="1" s="65"/>
    <row r="32" ht="34" customHeight="1" s="65"/>
    <row r="33" ht="34" customHeight="1" s="65"/>
    <row r="34" ht="34" customHeight="1" s="65"/>
    <row r="35" ht="34" customHeight="1" s="65"/>
    <row r="36" ht="34" customHeight="1" s="65"/>
    <row r="37" ht="34" customHeight="1" s="65"/>
    <row r="38" ht="34" customHeight="1" s="65"/>
    <row r="39" ht="34" customHeight="1" s="65"/>
    <row r="40" ht="34" customHeight="1" s="65"/>
    <row r="41" ht="34" customHeight="1" s="65"/>
    <row r="42" ht="34" customHeight="1" s="65"/>
    <row r="43" ht="34" customHeight="1" s="65"/>
    <row r="44" ht="34" customHeight="1" s="65"/>
    <row r="45" ht="34" customHeight="1" s="65"/>
    <row r="46" ht="34" customHeight="1" s="65"/>
    <row r="47" ht="34" customHeight="1" s="65"/>
    <row r="48" ht="34" customHeight="1" s="65"/>
    <row r="49" ht="34" customHeight="1" s="65"/>
    <row r="50" ht="34" customHeight="1" s="65"/>
    <row r="51" ht="34" customHeight="1" s="65"/>
    <row r="52" ht="34" customHeight="1" s="65"/>
    <row r="53" ht="34" customHeight="1" s="65"/>
    <row r="54" ht="34" customHeight="1" s="65"/>
    <row r="55" ht="34" customHeight="1" s="65"/>
  </sheetData>
  <mergeCells count="9">
    <mergeCell ref="A13:I13"/>
    <mergeCell ref="D1:H1"/>
    <mergeCell ref="A16:E16"/>
    <mergeCell ref="A5:I5"/>
    <mergeCell ref="D4:I4"/>
    <mergeCell ref="D2:H2"/>
    <mergeCell ref="A10:E10"/>
    <mergeCell ref="A1:B4"/>
    <mergeCell ref="G6:H6"/>
  </mergeCells>
  <pageMargins left="0.71" right="0.71" top="0.75" bottom="0.75" header="0.31" footer="0.31"/>
  <pageSetup orientation="portrait" paperSize="9" scale="84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马静</dc:creator>
  <dcterms:created xsi:type="dcterms:W3CDTF">2016-11-01T12:53:09Z</dcterms:created>
  <dcterms:modified xsi:type="dcterms:W3CDTF">2026-08-25T08:16:19Z</dcterms:modified>
  <cp:lastModifiedBy>一瓢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638BA26AD02A4DFFA72075E8A08B0377_13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